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Manish_Italy\Analyst_ Material\Analyst Club\Excel\"/>
    </mc:Choice>
  </mc:AlternateContent>
  <xr:revisionPtr revIDLastSave="0" documentId="8_{F6EB2432-6359-4D3E-888E-5E82EF03F8EE}" xr6:coauthVersionLast="47" xr6:coauthVersionMax="47" xr10:uidLastSave="{00000000-0000-0000-0000-000000000000}"/>
  <bookViews>
    <workbookView xWindow="-120" yWindow="-120" windowWidth="29040" windowHeight="15720" activeTab="6" xr2:uid="{039806AC-1E90-4C41-A4F4-78E21A9548D0}"/>
  </bookViews>
  <sheets>
    <sheet name="Raw" sheetId="1" r:id="rId1"/>
    <sheet name="KPI" sheetId="2" r:id="rId2"/>
    <sheet name="Gender &amp;Qualification" sheetId="4" r:id="rId3"/>
    <sheet name="Department" sheetId="5" r:id="rId4"/>
    <sheet name="Job Role" sheetId="6" r:id="rId5"/>
    <sheet name="Age&amp;Marriage" sheetId="7" r:id="rId6"/>
    <sheet name="Dashboard" sheetId="8" r:id="rId7"/>
  </sheets>
  <definedNames>
    <definedName name="_xlchart.v1.0" hidden="1">'Job Role'!$E$4:$E$12</definedName>
    <definedName name="_xlchart.v1.1" hidden="1">'Job Role'!$F$3</definedName>
    <definedName name="_xlchart.v1.15" hidden="1">'Job Role'!$E$4:$E$12</definedName>
    <definedName name="_xlchart.v1.16" hidden="1">'Job Role'!$F$3</definedName>
    <definedName name="_xlchart.v1.17" hidden="1">'Job Role'!$F$4:$F$12</definedName>
    <definedName name="_xlchart.v1.2" hidden="1">'Job Role'!$F$4:$F$12</definedName>
    <definedName name="_xlchart.v2.10" hidden="1">'Age&amp;Marriage'!$G$26</definedName>
    <definedName name="_xlchart.v2.11" hidden="1">'Age&amp;Marriage'!$G$27:$G$29</definedName>
    <definedName name="_xlchart.v2.12" hidden="1">'Age&amp;Marriage'!$F$27:$F$29</definedName>
    <definedName name="_xlchart.v2.13" hidden="1">'Age&amp;Marriage'!$G$26</definedName>
    <definedName name="_xlchart.v2.14" hidden="1">'Age&amp;Marriage'!$G$27:$G$29</definedName>
    <definedName name="_xlchart.v2.18" hidden="1">'Age&amp;Marriage'!$F$27:$F$29</definedName>
    <definedName name="_xlchart.v2.19" hidden="1">'Age&amp;Marriage'!$G$26</definedName>
    <definedName name="_xlchart.v2.20" hidden="1">'Age&amp;Marriage'!$G$27:$G$29</definedName>
    <definedName name="_xlchart.v2.3" hidden="1">'Age&amp;Marriage'!$F$27:$F$29</definedName>
    <definedName name="_xlchart.v2.4" hidden="1">'Age&amp;Marriage'!$G$26</definedName>
    <definedName name="_xlchart.v2.5" hidden="1">'Age&amp;Marriage'!$G$27:$G$29</definedName>
    <definedName name="_xlchart.v2.6" hidden="1">'Age&amp;Marriage'!$F$27:$F$29</definedName>
    <definedName name="_xlchart.v2.7" hidden="1">'Age&amp;Marriage'!$G$26</definedName>
    <definedName name="_xlchart.v2.8" hidden="1">'Age&amp;Marriage'!$G$27:$G$29</definedName>
    <definedName name="_xlchart.v2.9" hidden="1">'Age&amp;Marriage'!$F$27:$F$29</definedName>
    <definedName name="Slicer_Department">#N/A</definedName>
    <definedName name="Slicer_Education_Field">#N/A</definedName>
    <definedName name="Slicer_Gender">#N/A</definedName>
  </definedNames>
  <calcPr calcId="191029"/>
  <pivotCaches>
    <pivotCache cacheId="2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8" l="1"/>
  <c r="F6" i="8"/>
  <c r="E6" i="8"/>
  <c r="G29" i="7"/>
  <c r="G28" i="7"/>
  <c r="G27" i="7"/>
  <c r="C8" i="2"/>
  <c r="B8" i="2"/>
  <c r="A8" i="2"/>
  <c r="D8" i="2" l="1"/>
  <c r="E8" i="2"/>
  <c r="H6" i="8"/>
  <c r="I6" i="8"/>
</calcChain>
</file>

<file path=xl/sharedStrings.xml><?xml version="1.0" encoding="utf-8"?>
<sst xmlns="http://schemas.openxmlformats.org/spreadsheetml/2006/main" count="19228" uniqueCount="1567">
  <si>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</si>
  <si>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</si>
  <si>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</si>
  <si>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</si>
  <si>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</si>
  <si>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</si>
  <si>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</si>
  <si>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</si>
  <si>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</si>
  <si>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</si>
  <si>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</si>
  <si>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</si>
  <si>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</si>
  <si>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</si>
  <si>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</si>
  <si>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</si>
  <si>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</si>
  <si>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</si>
  <si>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</si>
  <si>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</si>
  <si>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</si>
  <si>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</si>
  <si>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</si>
  <si>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</si>
  <si>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</si>
  <si>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</si>
  <si>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</si>
  <si>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</si>
  <si>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</si>
  <si>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</si>
  <si>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</si>
  <si>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</si>
  <si>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</si>
  <si>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</si>
  <si>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</si>
  <si>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</si>
  <si>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</si>
  <si>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</si>
  <si>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</si>
  <si>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</si>
  <si>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</si>
  <si>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</si>
  <si>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</si>
  <si>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</si>
  <si>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</si>
  <si>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</si>
  <si>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</si>
  <si>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</si>
  <si>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</si>
  <si>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</si>
  <si>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</si>
  <si>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</si>
  <si>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</si>
  <si>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</si>
  <si>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</si>
  <si>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</si>
  <si>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</si>
  <si>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</si>
  <si>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</si>
  <si>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</si>
  <si>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</si>
  <si>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</si>
  <si>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</si>
  <si>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</si>
  <si>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</si>
  <si>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</si>
  <si>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</si>
  <si>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</si>
  <si>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</si>
  <si>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</si>
  <si>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</si>
  <si>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</si>
  <si>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</si>
  <si>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</si>
  <si>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</si>
  <si>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</si>
  <si>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</si>
  <si>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</si>
  <si>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</si>
  <si>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</si>
  <si>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</si>
  <si>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</si>
  <si>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</si>
  <si>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</si>
  <si>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</si>
  <si>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</si>
  <si>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</si>
  <si>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</si>
  <si>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</si>
  <si>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</si>
  <si>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</si>
  <si>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</si>
  <si>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</si>
  <si>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</si>
  <si>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</si>
  <si>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</si>
  <si>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</si>
  <si>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</si>
  <si>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</si>
  <si>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</si>
  <si>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</si>
  <si>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</si>
  <si>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</si>
  <si>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</si>
  <si>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</si>
  <si>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</si>
  <si>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</si>
  <si>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</si>
  <si>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</si>
  <si>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</si>
  <si>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</si>
  <si>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</si>
  <si>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</si>
  <si>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</si>
  <si>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</si>
  <si>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</si>
  <si>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</si>
  <si>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</si>
  <si>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</si>
  <si>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</si>
  <si>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</si>
  <si>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</si>
  <si>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</si>
  <si>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</si>
  <si>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</si>
  <si>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</si>
  <si>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</si>
  <si>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</si>
  <si>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</si>
  <si>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</si>
  <si>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</si>
  <si>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</si>
  <si>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</si>
  <si>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</si>
  <si>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</si>
  <si>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</si>
  <si>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</si>
  <si>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</si>
  <si>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</si>
  <si>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</si>
  <si>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</si>
  <si>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</si>
  <si>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</si>
  <si>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</si>
  <si>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</si>
  <si>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</si>
  <si>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</si>
  <si>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</si>
  <si>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</si>
  <si>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</si>
  <si>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</si>
  <si>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</si>
  <si>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</si>
  <si>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</si>
  <si>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</si>
  <si>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</si>
  <si>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</si>
  <si>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</si>
  <si>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</si>
  <si>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</si>
  <si>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</si>
  <si>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</si>
  <si>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</si>
  <si>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</si>
  <si>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</si>
  <si>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</si>
  <si>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</si>
  <si>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</si>
  <si>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</si>
  <si>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</si>
  <si>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</si>
  <si>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</si>
  <si>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</si>
  <si>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</si>
  <si>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</si>
  <si>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</si>
  <si>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</si>
  <si>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</si>
  <si>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</si>
  <si>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</si>
  <si>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</si>
  <si>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</si>
  <si>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</si>
  <si>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</si>
  <si>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</si>
  <si>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</si>
  <si>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</si>
  <si>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</si>
  <si>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</si>
  <si>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</si>
  <si>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</si>
  <si>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</si>
  <si>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</si>
  <si>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</si>
  <si>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</si>
  <si>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</si>
  <si>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</si>
  <si>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</si>
  <si>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</si>
  <si>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</si>
  <si>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</si>
  <si>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</si>
  <si>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</si>
  <si>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</si>
  <si>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</si>
  <si>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</si>
  <si>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</si>
  <si>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</si>
  <si>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</si>
  <si>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</si>
  <si>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</si>
  <si>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</si>
  <si>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</si>
  <si>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</si>
  <si>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</si>
  <si>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</si>
  <si>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</si>
  <si>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</si>
  <si>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</si>
  <si>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</si>
  <si>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</si>
  <si>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</si>
  <si>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</si>
  <si>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</si>
  <si>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</si>
  <si>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</si>
  <si>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</si>
  <si>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</si>
  <si>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</si>
  <si>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</si>
  <si>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</si>
  <si>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</si>
  <si>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</si>
  <si>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</si>
  <si>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</si>
  <si>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</si>
  <si>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</si>
  <si>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</si>
  <si>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</si>
  <si>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</si>
  <si>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</si>
  <si>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</si>
  <si>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</si>
  <si>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</si>
  <si>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</si>
  <si>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</si>
  <si>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</si>
  <si>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</si>
  <si>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</si>
  <si>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</si>
  <si>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</si>
  <si>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</si>
  <si>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</si>
  <si>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</si>
  <si>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</si>
  <si>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</si>
  <si>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</si>
  <si>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</si>
  <si>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</si>
  <si>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</si>
  <si>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</si>
  <si>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</si>
  <si>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</si>
  <si>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</si>
  <si>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</si>
  <si>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</si>
  <si>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</si>
  <si>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</si>
  <si>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</si>
  <si>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</si>
  <si>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</si>
  <si>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</si>
  <si>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</si>
  <si>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</si>
  <si>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</si>
  <si>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</si>
  <si>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</si>
  <si>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</si>
  <si>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</si>
  <si>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</si>
  <si>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</si>
  <si>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</si>
  <si>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</si>
  <si>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</si>
  <si>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</si>
  <si>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</si>
  <si>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</si>
  <si>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</si>
  <si>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</si>
  <si>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</si>
  <si>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</si>
  <si>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</si>
  <si>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</si>
  <si>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</si>
  <si>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</si>
  <si>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</si>
  <si>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</si>
  <si>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</si>
  <si>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</si>
  <si>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</si>
  <si>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</si>
  <si>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</si>
  <si>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</si>
  <si>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</si>
  <si>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</si>
  <si>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</si>
  <si>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</si>
  <si>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</si>
  <si>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</si>
  <si>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</si>
  <si>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</si>
  <si>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</si>
  <si>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</si>
  <si>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</si>
  <si>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</si>
  <si>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</si>
  <si>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</si>
  <si>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</si>
  <si>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</si>
  <si>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</si>
  <si>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</si>
  <si>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</si>
  <si>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</si>
  <si>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</si>
  <si>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</si>
  <si>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</si>
  <si>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</si>
  <si>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</si>
  <si>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</si>
  <si>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</si>
  <si>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</si>
  <si>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</si>
  <si>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</si>
  <si>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</si>
  <si>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</si>
  <si>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</si>
  <si>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</si>
  <si>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</si>
  <si>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</si>
  <si>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</si>
  <si>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</si>
  <si>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</si>
  <si>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</si>
  <si>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</si>
  <si>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</si>
  <si>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</si>
  <si>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</si>
  <si>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</si>
  <si>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</si>
  <si>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</si>
  <si>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</si>
  <si>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</si>
  <si>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</si>
  <si>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</si>
  <si>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</si>
  <si>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</si>
  <si>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</si>
  <si>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</si>
  <si>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</si>
  <si>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</si>
  <si>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</si>
  <si>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</si>
  <si>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</si>
  <si>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</si>
  <si>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</si>
  <si>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</si>
  <si>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</si>
  <si>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</si>
  <si>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</si>
  <si>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</si>
  <si>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</si>
  <si>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</si>
  <si>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</si>
  <si>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</si>
  <si>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</si>
  <si>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</si>
  <si>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</si>
  <si>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</si>
  <si>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</si>
  <si>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</si>
  <si>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</si>
  <si>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</si>
  <si>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</si>
  <si>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</si>
  <si>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</si>
  <si>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</si>
  <si>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</si>
  <si>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</si>
  <si>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</si>
  <si>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</si>
  <si>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</si>
  <si>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</si>
  <si>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</si>
  <si>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</si>
  <si>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</si>
  <si>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</si>
  <si>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</si>
  <si>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</si>
  <si>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</si>
  <si>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</si>
  <si>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</si>
  <si>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</si>
  <si>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</si>
  <si>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</si>
  <si>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</si>
  <si>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</si>
  <si>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</si>
  <si>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</si>
  <si>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</si>
  <si>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</si>
  <si>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</si>
  <si>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</si>
  <si>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</si>
  <si>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</si>
  <si>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</si>
  <si>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</si>
  <si>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</si>
  <si>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</si>
  <si>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</si>
  <si>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</si>
  <si>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</si>
  <si>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</si>
  <si>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</si>
  <si>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</si>
  <si>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</si>
  <si>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</si>
  <si>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</si>
  <si>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</si>
  <si>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</si>
  <si>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</si>
  <si>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</si>
  <si>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</si>
  <si>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</si>
  <si>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</si>
  <si>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</si>
  <si>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</si>
  <si>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</si>
  <si>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</si>
  <si>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</si>
  <si>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</si>
  <si>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</si>
  <si>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</si>
  <si>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</si>
  <si>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</si>
  <si>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</si>
  <si>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</si>
  <si>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</si>
  <si>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</si>
  <si>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</si>
  <si>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</si>
  <si>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</si>
  <si>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</si>
  <si>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</si>
  <si>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</si>
  <si>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</si>
  <si>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</si>
  <si>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</si>
  <si>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</si>
  <si>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</si>
  <si>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</si>
  <si>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</si>
  <si>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</si>
  <si>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</si>
  <si>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</si>
  <si>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</si>
  <si>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</si>
  <si>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</si>
  <si>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</si>
  <si>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</si>
  <si>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</si>
  <si>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</si>
  <si>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</si>
  <si>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</si>
  <si>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</si>
  <si>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</si>
  <si>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</si>
  <si>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</si>
  <si>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</si>
  <si>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</si>
  <si>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</si>
  <si>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</si>
  <si>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</si>
  <si>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</si>
  <si>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</si>
  <si>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</si>
  <si>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</si>
  <si>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</si>
  <si>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</si>
  <si>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</si>
  <si>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</si>
  <si>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</si>
  <si>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</si>
  <si>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</si>
  <si>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</si>
  <si>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</si>
  <si>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</si>
  <si>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</si>
  <si>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</si>
  <si>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</si>
  <si>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</si>
  <si>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</si>
  <si>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</si>
  <si>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</si>
  <si>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</si>
  <si>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</si>
  <si>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</si>
  <si>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</si>
  <si>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</si>
  <si>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</si>
  <si>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</si>
  <si>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</si>
  <si>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</si>
  <si>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</si>
  <si>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</si>
  <si>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</si>
  <si>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</si>
  <si>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</si>
  <si>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</si>
  <si>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</si>
  <si>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</si>
  <si>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</si>
  <si>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</si>
  <si>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</si>
  <si>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</si>
  <si>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</si>
  <si>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</si>
  <si>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</si>
  <si>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</si>
  <si>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</si>
  <si>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</si>
  <si>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</si>
  <si>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</si>
  <si>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</si>
  <si>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</si>
  <si>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</si>
  <si>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</si>
  <si>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</si>
  <si>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</si>
  <si>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</si>
  <si>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</si>
  <si>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</si>
  <si>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</si>
  <si>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</si>
  <si>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</si>
  <si>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</si>
  <si>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</si>
  <si>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</si>
  <si>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</si>
  <si>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</si>
  <si>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</si>
  <si>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</si>
  <si>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</si>
  <si>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</si>
  <si>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</si>
  <si>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</si>
  <si>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</si>
  <si>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</si>
  <si>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</si>
  <si>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</si>
  <si>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</si>
  <si>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</si>
  <si>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</si>
  <si>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</si>
  <si>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</si>
  <si>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</si>
  <si>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</si>
  <si>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</si>
  <si>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</si>
  <si>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</si>
  <si>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</si>
  <si>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</si>
  <si>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</si>
  <si>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</si>
  <si>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</si>
  <si>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</si>
  <si>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</si>
  <si>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</si>
  <si>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</si>
  <si>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</si>
  <si>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</si>
  <si>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</si>
  <si>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</si>
  <si>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</si>
  <si>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</si>
  <si>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</si>
  <si>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</si>
  <si>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</si>
  <si>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</si>
  <si>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</si>
  <si>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</si>
  <si>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</si>
  <si>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</si>
  <si>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</si>
  <si>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</si>
  <si>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</si>
  <si>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</si>
  <si>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</si>
  <si>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</si>
  <si>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</si>
  <si>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</si>
  <si>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</si>
  <si>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</si>
  <si>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</si>
  <si>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</si>
  <si>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</si>
  <si>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</si>
  <si>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</si>
  <si>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</si>
  <si>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</si>
  <si>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</si>
  <si>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</si>
  <si>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</si>
  <si>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</si>
  <si>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</si>
  <si>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</si>
  <si>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</si>
  <si>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</si>
  <si>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</si>
  <si>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</si>
  <si>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</si>
  <si>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</si>
  <si>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</si>
  <si>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</si>
  <si>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</si>
  <si>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</si>
  <si>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</si>
  <si>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</si>
  <si>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</si>
  <si>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</si>
  <si>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</si>
  <si>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</si>
  <si>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</si>
  <si>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</si>
  <si>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</si>
  <si>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</si>
  <si>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</si>
  <si>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</si>
  <si>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</si>
  <si>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</si>
  <si>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</si>
  <si>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</si>
  <si>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</si>
  <si>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</si>
  <si>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</si>
  <si>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</si>
  <si>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</si>
  <si>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</si>
  <si>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</si>
  <si>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</si>
  <si>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</si>
  <si>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</si>
  <si>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</si>
  <si>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</si>
  <si>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</si>
  <si>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</si>
  <si>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</si>
  <si>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</si>
  <si>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</si>
  <si>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</si>
  <si>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</si>
  <si>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</si>
  <si>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</si>
  <si>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</si>
  <si>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</si>
  <si>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</si>
  <si>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</si>
  <si>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</si>
  <si>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</si>
  <si>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</si>
  <si>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</si>
  <si>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</si>
  <si>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</si>
  <si>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</si>
  <si>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</si>
  <si>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</si>
  <si>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</si>
  <si>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</si>
  <si>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</si>
  <si>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</si>
  <si>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</si>
  <si>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</si>
  <si>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</si>
  <si>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</si>
  <si>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</si>
  <si>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</si>
  <si>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</si>
  <si>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</si>
  <si>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</si>
  <si>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</si>
  <si>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</si>
  <si>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</si>
  <si>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</si>
  <si>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</si>
  <si>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</si>
  <si>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</si>
  <si>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</si>
  <si>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</si>
  <si>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</si>
  <si>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</si>
  <si>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</si>
  <si>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</si>
  <si>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</si>
  <si>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</si>
  <si>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</si>
  <si>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</si>
  <si>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</si>
  <si>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</si>
  <si>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</si>
  <si>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</si>
  <si>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</si>
  <si>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</si>
  <si>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</si>
  <si>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</si>
  <si>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</si>
  <si>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</si>
  <si>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</si>
  <si>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</si>
  <si>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</si>
  <si>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</si>
  <si>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</si>
  <si>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</si>
  <si>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</si>
  <si>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</si>
  <si>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</si>
  <si>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</si>
  <si>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</si>
  <si>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</si>
  <si>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</si>
  <si>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</si>
  <si>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</si>
  <si>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</si>
  <si>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</si>
  <si>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</si>
  <si>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</si>
  <si>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</si>
  <si>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</si>
  <si>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</si>
  <si>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</si>
  <si>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</si>
  <si>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</si>
  <si>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</si>
  <si>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</si>
  <si>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</si>
  <si>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</si>
  <si>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</si>
  <si>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</si>
  <si>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</si>
  <si>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</si>
  <si>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</si>
  <si>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</si>
  <si>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</si>
  <si>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</si>
  <si>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</si>
  <si>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</si>
  <si>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</si>
  <si>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</si>
  <si>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</si>
  <si>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</si>
  <si>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</si>
  <si>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</si>
  <si>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</si>
  <si>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</si>
  <si>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</si>
  <si>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</si>
  <si>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</si>
  <si>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</si>
  <si>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</si>
  <si>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</si>
  <si>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</si>
  <si>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</si>
  <si>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</si>
  <si>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</si>
  <si>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</si>
  <si>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</si>
  <si>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</si>
  <si>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</si>
  <si>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</si>
  <si>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</si>
  <si>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</si>
  <si>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</si>
  <si>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</si>
  <si>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</si>
  <si>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</si>
  <si>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</si>
  <si>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</si>
  <si>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</si>
  <si>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</si>
  <si>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</si>
  <si>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</si>
  <si>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</si>
  <si>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</si>
  <si>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</si>
  <si>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</si>
  <si>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</si>
  <si>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</si>
  <si>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</si>
  <si>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</si>
  <si>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</si>
  <si>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</si>
  <si>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</si>
  <si>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</si>
  <si>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</si>
  <si>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</si>
  <si>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</si>
  <si>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</si>
  <si>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</si>
  <si>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</si>
  <si>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</si>
  <si>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</si>
  <si>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</si>
  <si>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</si>
  <si>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</si>
  <si>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</si>
  <si>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</si>
  <si>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</si>
  <si>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</si>
  <si>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</si>
  <si>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</si>
  <si>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</si>
  <si>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</si>
  <si>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</si>
  <si>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</si>
  <si>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</si>
  <si>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</si>
  <si>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</si>
  <si>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</si>
  <si>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</si>
  <si>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</si>
  <si>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</si>
  <si>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</si>
  <si>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</si>
  <si>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</si>
  <si>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</si>
  <si>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</si>
  <si>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</si>
  <si>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</si>
  <si>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</si>
  <si>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</si>
  <si>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</si>
  <si>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</si>
  <si>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</si>
  <si>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</si>
  <si>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</si>
  <si>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</si>
  <si>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</si>
  <si>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</si>
  <si>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</si>
  <si>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</si>
  <si>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</si>
  <si>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</si>
  <si>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</si>
  <si>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</si>
  <si>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</si>
  <si>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</si>
  <si>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</si>
  <si>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</si>
  <si>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</si>
  <si>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</si>
  <si>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</si>
  <si>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</si>
  <si>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</si>
  <si>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</si>
  <si>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</si>
  <si>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</si>
  <si>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</si>
  <si>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</si>
  <si>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</si>
  <si>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</si>
  <si>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</si>
  <si>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</si>
  <si>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</si>
  <si>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</si>
  <si>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</si>
  <si>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</si>
  <si>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</si>
  <si>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</si>
  <si>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</si>
  <si>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</si>
  <si>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</si>
  <si>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</si>
  <si>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</si>
  <si>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</si>
  <si>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</si>
  <si>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</si>
  <si>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</si>
  <si>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</si>
  <si>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</si>
  <si>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</si>
  <si>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</si>
  <si>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</si>
  <si>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</si>
  <si>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</si>
  <si>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</si>
  <si>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</si>
  <si>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</si>
  <si>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</si>
  <si>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</si>
  <si>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</si>
  <si>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</si>
  <si>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</si>
  <si>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</si>
  <si>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</si>
  <si>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</si>
  <si>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</si>
  <si>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</si>
  <si>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</si>
  <si>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</si>
  <si>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</si>
  <si>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</si>
  <si>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</si>
  <si>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</si>
  <si>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</si>
  <si>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</si>
  <si>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</si>
  <si>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</si>
  <si>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</si>
  <si>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</si>
  <si>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</si>
  <si>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</si>
  <si>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</si>
  <si>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</si>
  <si>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</si>
  <si>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</si>
  <si>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</si>
  <si>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</si>
  <si>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</si>
  <si>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</si>
  <si>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</si>
  <si>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</si>
  <si>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</si>
  <si>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</si>
  <si>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</si>
  <si>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</si>
  <si>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</si>
  <si>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</si>
  <si>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</si>
  <si>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</si>
  <si>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</si>
  <si>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</si>
  <si>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</si>
  <si>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</si>
  <si>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</si>
  <si>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</si>
  <si>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</si>
  <si>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</si>
  <si>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</si>
  <si>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</si>
  <si>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</si>
  <si>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</si>
  <si>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</si>
  <si>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</si>
  <si>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</si>
  <si>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</si>
  <si>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</si>
  <si>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</si>
  <si>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</si>
  <si>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</si>
  <si>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</si>
  <si>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</si>
  <si>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</si>
  <si>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</si>
  <si>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</si>
  <si>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</si>
  <si>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</si>
  <si>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</si>
  <si>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</si>
  <si>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</si>
  <si>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</si>
  <si>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</si>
  <si>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</si>
  <si>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</si>
  <si>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</si>
  <si>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</si>
  <si>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</si>
  <si>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</si>
  <si>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</si>
  <si>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</si>
  <si>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</si>
  <si>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</si>
  <si>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</si>
  <si>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</si>
  <si>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</si>
  <si>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</si>
  <si>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</si>
  <si>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</si>
  <si>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</si>
  <si>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</si>
  <si>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</si>
  <si>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</si>
  <si>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</si>
  <si>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</si>
  <si>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</si>
  <si>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</si>
  <si>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</si>
  <si>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</si>
  <si>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</si>
  <si>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</si>
  <si>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</si>
  <si>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</si>
  <si>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</si>
  <si>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</si>
  <si>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</si>
  <si>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</si>
  <si>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</si>
  <si>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</si>
  <si>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</si>
  <si>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</si>
  <si>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</si>
  <si>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</si>
  <si>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</si>
  <si>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</si>
  <si>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</si>
  <si>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</si>
  <si>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</si>
  <si>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</si>
  <si>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</si>
  <si>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</si>
  <si>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</si>
  <si>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</si>
  <si>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</si>
  <si>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</si>
  <si>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</si>
  <si>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</si>
  <si>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</si>
  <si>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</si>
  <si>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</si>
  <si>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</si>
  <si>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</si>
  <si>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</si>
  <si>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</si>
  <si>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</si>
  <si>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</si>
  <si>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</si>
  <si>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</si>
  <si>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</si>
  <si>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</si>
  <si>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</si>
  <si>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</si>
  <si>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</si>
  <si>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</si>
  <si>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</si>
  <si>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</si>
  <si>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</si>
  <si>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</si>
  <si>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</si>
  <si>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</si>
  <si>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</si>
  <si>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</si>
  <si>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</si>
  <si>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</si>
  <si>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</si>
  <si>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</si>
  <si>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</si>
  <si>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</si>
  <si>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</si>
  <si>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</si>
  <si>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</si>
  <si>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</si>
  <si>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</si>
  <si>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</si>
  <si>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</si>
  <si>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</si>
  <si>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</si>
  <si>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</si>
  <si>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</si>
  <si>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</si>
  <si>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</si>
  <si>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</si>
  <si>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</si>
  <si>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</si>
  <si>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</si>
  <si>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</si>
  <si>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</si>
  <si>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</si>
  <si>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</si>
  <si>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</si>
  <si>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</si>
  <si>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</si>
  <si>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</si>
  <si>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</si>
  <si>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</si>
  <si>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</si>
  <si>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</si>
  <si>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</si>
  <si>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</si>
  <si>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</si>
  <si>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</si>
  <si>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</si>
  <si>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</si>
  <si>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</si>
  <si>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</si>
  <si>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</si>
  <si>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</si>
  <si>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</si>
  <si>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</si>
  <si>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</si>
  <si>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</si>
  <si>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</si>
  <si>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</si>
  <si>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</si>
  <si>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</si>
  <si>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</si>
  <si>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</si>
  <si>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</si>
  <si>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</si>
  <si>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</si>
  <si>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</si>
  <si>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</si>
  <si>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</si>
  <si>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</si>
  <si>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</si>
  <si>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</si>
  <si>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</si>
  <si>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</si>
  <si>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</si>
  <si>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</si>
  <si>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</si>
  <si>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</si>
  <si>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</si>
  <si>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</si>
  <si>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</si>
  <si>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</si>
  <si>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</si>
  <si>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</si>
  <si>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</si>
  <si>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</si>
  <si>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</si>
  <si>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</si>
  <si>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</si>
  <si>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</si>
  <si>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</si>
  <si>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</si>
  <si>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</si>
  <si>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</si>
  <si>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</si>
  <si>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</si>
  <si>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</si>
  <si>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</si>
  <si>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</si>
  <si>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</si>
  <si>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</si>
  <si>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</si>
  <si>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</si>
  <si>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</si>
  <si>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</si>
  <si>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</si>
  <si>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</si>
  <si>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</si>
  <si>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</si>
  <si>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</si>
  <si>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</si>
  <si>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</si>
  <si>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</si>
  <si>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</si>
  <si>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</si>
  <si>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</si>
  <si>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</si>
  <si>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</si>
  <si>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</si>
  <si>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</si>
  <si>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</si>
  <si>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</si>
  <si>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</si>
  <si>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</si>
  <si>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</si>
  <si>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</si>
  <si>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</si>
  <si>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</si>
  <si>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</si>
  <si>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</si>
  <si>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</si>
  <si>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</si>
  <si>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</si>
  <si>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</si>
  <si>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</si>
  <si>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</si>
  <si>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</si>
  <si>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</si>
  <si>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</si>
  <si>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</si>
  <si>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</si>
  <si>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</si>
  <si>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</si>
  <si>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</si>
  <si>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</si>
  <si>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</si>
  <si>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</si>
  <si>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</si>
  <si>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</si>
  <si>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</si>
  <si>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</si>
  <si>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</si>
  <si>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</si>
  <si>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</si>
  <si>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</si>
  <si>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</si>
  <si>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</si>
  <si>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</si>
  <si>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</si>
  <si>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</si>
  <si>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</si>
  <si>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</si>
  <si>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</si>
  <si>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</si>
  <si>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</si>
  <si>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</si>
  <si>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</si>
  <si>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</si>
  <si>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</si>
  <si>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</si>
  <si>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</si>
  <si>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</si>
  <si>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</si>
  <si>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</si>
  <si>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</si>
  <si>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</si>
  <si>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</si>
  <si>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</si>
  <si>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</si>
  <si>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</si>
  <si>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</si>
  <si>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</si>
  <si>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</si>
  <si>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</si>
  <si>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</si>
  <si>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</si>
  <si>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</si>
  <si>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</si>
  <si>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</si>
  <si>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</si>
  <si>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</si>
  <si>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</si>
  <si>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</si>
  <si>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</si>
  <si>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</si>
  <si>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</si>
  <si>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</si>
  <si>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</si>
  <si>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</si>
  <si>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</si>
  <si>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</si>
  <si>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</si>
  <si>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</si>
  <si>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</si>
  <si>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</si>
  <si>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</si>
  <si>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</si>
  <si>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</si>
  <si>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</si>
  <si>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</si>
  <si>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</si>
  <si>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</si>
  <si>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</si>
  <si>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</si>
  <si>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</si>
  <si>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</si>
  <si>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</si>
  <si>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</si>
  <si>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</si>
  <si>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</si>
  <si>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</si>
  <si>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</si>
  <si>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</si>
  <si>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</si>
  <si>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</si>
  <si>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</si>
  <si>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</si>
  <si>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</si>
  <si>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</si>
  <si>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</si>
  <si>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</si>
  <si>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</si>
  <si>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</si>
  <si>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</si>
  <si>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</si>
  <si>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</si>
  <si>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</si>
  <si>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</si>
  <si>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</si>
  <si>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</si>
  <si>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</si>
  <si>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</si>
  <si>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</si>
  <si>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</si>
  <si>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</si>
  <si>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</si>
  <si>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</si>
  <si>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</si>
  <si>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</si>
  <si>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</si>
  <si>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</si>
  <si>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</si>
  <si>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</si>
  <si>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</si>
  <si>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</si>
  <si>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</si>
  <si>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</si>
  <si>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</si>
  <si>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</si>
  <si>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</si>
  <si>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</si>
  <si>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</si>
  <si>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</si>
  <si>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</si>
  <si>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</si>
  <si>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</si>
  <si>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</si>
  <si>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</si>
  <si>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</si>
  <si>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</si>
  <si>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</si>
  <si>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</si>
  <si>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</si>
  <si>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</si>
  <si>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</si>
  <si>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</si>
  <si>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</si>
  <si>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</si>
  <si>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</si>
  <si>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</si>
  <si>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</si>
  <si>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</si>
  <si>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</si>
  <si>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</si>
  <si>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</si>
  <si>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</si>
  <si>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</si>
  <si>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</si>
  <si>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</si>
  <si>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</si>
  <si>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</si>
  <si>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</si>
  <si>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</si>
  <si>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</si>
  <si>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</si>
  <si>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</si>
  <si>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</si>
  <si>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</si>
  <si>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</si>
  <si>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</si>
  <si>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</si>
  <si>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</si>
  <si>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</si>
  <si>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</si>
  <si>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</si>
  <si>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</si>
  <si>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</si>
  <si>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</si>
  <si>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</si>
  <si>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</si>
  <si>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</si>
  <si>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</si>
  <si>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</si>
  <si>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</si>
  <si>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</si>
  <si>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</si>
  <si>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</si>
  <si>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</si>
  <si>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</si>
  <si>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</si>
  <si>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</si>
  <si>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</si>
  <si>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</si>
  <si>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</si>
  <si>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</si>
  <si>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</si>
  <si>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</si>
  <si>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</si>
  <si>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</si>
  <si>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</si>
  <si>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</si>
  <si>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</si>
  <si>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</si>
  <si>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</si>
  <si>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</si>
  <si>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</si>
  <si>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</si>
  <si>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</si>
  <si>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</si>
  <si>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</si>
  <si>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</si>
  <si>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</si>
  <si>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</si>
  <si>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</si>
  <si>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</si>
  <si>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</si>
  <si>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</si>
  <si>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</si>
  <si>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</si>
  <si>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</si>
  <si>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</si>
  <si>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</si>
  <si>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</si>
  <si>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</si>
  <si>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</si>
  <si>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</si>
  <si>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</si>
  <si>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</si>
  <si>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</si>
  <si>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</si>
  <si>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</si>
  <si>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</si>
  <si>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</si>
  <si>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</si>
  <si>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</si>
  <si>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</si>
  <si>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</si>
  <si>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</si>
  <si>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</si>
  <si>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</si>
  <si>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</si>
  <si>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</si>
  <si>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</si>
  <si>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</si>
  <si>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</si>
  <si>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</si>
  <si>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</si>
  <si>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</si>
  <si>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</si>
  <si>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</si>
  <si>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</si>
  <si>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</si>
  <si>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</si>
  <si>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</si>
  <si>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</si>
  <si>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</si>
  <si>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</si>
  <si>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</si>
  <si>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</si>
  <si>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</si>
  <si>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</si>
  <si>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</si>
  <si>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</si>
  <si>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</si>
  <si>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</si>
  <si>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</si>
  <si>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</si>
  <si>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</si>
  <si>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</si>
  <si>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</si>
  <si>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</si>
  <si>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</si>
  <si>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</si>
  <si>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</si>
  <si>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</si>
  <si>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</si>
  <si>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</si>
  <si>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</si>
  <si>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</si>
  <si>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</si>
  <si>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</si>
  <si>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</si>
  <si>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</si>
  <si>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</si>
  <si>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</si>
  <si>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</si>
  <si>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</si>
  <si>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</si>
  <si>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</si>
  <si>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</si>
  <si>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</si>
  <si>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</si>
  <si>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</si>
  <si>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</si>
  <si>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</si>
  <si>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</si>
  <si>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</si>
  <si>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</si>
  <si>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</si>
  <si>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</si>
  <si>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</si>
  <si>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</si>
  <si>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</si>
  <si>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</si>
  <si>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</si>
  <si>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</si>
  <si>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</si>
  <si>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</si>
  <si>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</si>
  <si>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</si>
  <si>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</si>
  <si>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</si>
  <si>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</si>
  <si>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</si>
  <si>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</si>
  <si>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</si>
  <si>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</si>
  <si>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</si>
  <si>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</si>
  <si>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</si>
  <si>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</si>
  <si>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</si>
  <si>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</si>
  <si>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</si>
  <si>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</si>
  <si>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</si>
  <si>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</si>
  <si>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</si>
  <si>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</si>
  <si>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</si>
  <si>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</si>
  <si>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</si>
  <si>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</si>
  <si>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</si>
  <si>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</si>
  <si>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</si>
  <si>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</si>
  <si>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</si>
  <si>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</si>
  <si>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</si>
  <si>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</si>
  <si>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</si>
  <si>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</si>
  <si>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</si>
  <si>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</si>
  <si>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</si>
  <si>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</si>
  <si>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</si>
  <si>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</si>
  <si>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</si>
  <si>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</si>
  <si>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</si>
  <si>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</si>
  <si>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</si>
  <si>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</si>
  <si>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</si>
  <si>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</si>
  <si>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</si>
  <si>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</si>
  <si>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</si>
  <si>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</si>
  <si>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</si>
  <si>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</si>
  <si>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</si>
  <si>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</si>
  <si>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</si>
  <si>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</si>
  <si>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</si>
  <si>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</si>
  <si>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</si>
  <si>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</si>
  <si>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</si>
  <si>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</si>
  <si>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</si>
  <si>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</si>
  <si>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</si>
  <si>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</si>
  <si>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</si>
  <si>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</si>
  <si>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</si>
  <si>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</si>
  <si>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</si>
  <si>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</si>
  <si>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</si>
  <si>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Grand Total</t>
  </si>
  <si>
    <t>Count of Employee Number</t>
  </si>
  <si>
    <t>Sum of CF_attrition count</t>
  </si>
  <si>
    <t>Average of Age</t>
  </si>
  <si>
    <t>Total Employess</t>
  </si>
  <si>
    <t>Attrition Count</t>
  </si>
  <si>
    <t>Average Age</t>
  </si>
  <si>
    <t>Active Employess</t>
  </si>
  <si>
    <t>Attrition Rate</t>
  </si>
  <si>
    <t>Row Labels</t>
  </si>
  <si>
    <t>Count of Gender</t>
  </si>
  <si>
    <t>Marriage Status</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</si>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</sst>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6"/>
      <color theme="1"/>
      <name val="Calibri"/>
      <family val="2"/>
      <scheme val="minor"/>
    </font>
    <font>
      <b/>
      <sz val="16"/>
      <color theme="1"/>
      <name val="Calibri"/>
      <family val="2"/>
      <scheme val="minor"/>
    </font>
    <font>
      <b/>
      <sz val="48"/>
      <color theme="2"/>
      <name val="Calibri"/>
      <family val="2"/>
      <scheme val="minor"/>
    </font>
    <font>
      <sz val="11"/>
      <color theme="2"/>
      <name val="Calibri"/>
      <family val="2"/>
      <scheme val="minor"/>
    </font>
  </fonts>
  <fills count="4">
    <fill>
      <patternFill patternType="none"/>
    </fill>
    <fill>
      <patternFill patternType="gray125"/>
    </fill>
    <fill>
      <patternFill patternType="solid">
        <fgColor theme="8"/>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pivotButton="1"/>
    <xf numFmtId="0" fontId="0" fillId="0" borderId="0" xfId="0" applyNumberFormat="1"/>
    <xf numFmtId="1" fontId="0" fillId="0" borderId="0" xfId="0" applyNumberFormat="1"/>
    <xf numFmtId="10" fontId="0" fillId="0" borderId="0" xfId="1" applyNumberFormat="1" applyFont="1"/>
    <xf numFmtId="0" fontId="0" fillId="0" borderId="0" xfId="0" applyAlignment="1">
      <alignment horizontal="left"/>
    </xf>
    <xf numFmtId="0" fontId="2" fillId="0" borderId="0" xfId="0" applyFont="1"/>
    <xf numFmtId="0" fontId="4" fillId="2" borderId="0" xfId="0" applyFont="1" applyFill="1" applyAlignment="1">
      <alignment horizontal="center"/>
    </xf>
    <xf numFmtId="0" fontId="5" fillId="2" borderId="0" xfId="0" applyFont="1" applyFill="1" applyAlignment="1">
      <alignment horizontal="center"/>
    </xf>
    <xf numFmtId="0" fontId="0" fillId="3" borderId="0" xfId="0" applyFill="1"/>
    <xf numFmtId="0" fontId="3" fillId="3" borderId="1" xfId="0" applyFont="1" applyFill="1" applyBorder="1" applyAlignment="1">
      <alignment horizontal="center"/>
    </xf>
    <xf numFmtId="1" fontId="3" fillId="3" borderId="1" xfId="0" applyNumberFormat="1" applyFont="1" applyFill="1" applyBorder="1" applyAlignment="1">
      <alignment horizontal="center"/>
    </xf>
    <xf numFmtId="10" fontId="3" fillId="3" borderId="1" xfId="1" applyNumberFormat="1"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_DASHBOARAD.xlsx]Gender &amp;Qualification!PivotTable2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15702479338842976"/>
              <c:y val="4.3219873791162253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46831955922865"/>
              <c:y val="-6.482981068674337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 &amp;Qualification'!$B$3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83E-4BD7-B216-D8D00CD0E974}"/>
              </c:ext>
            </c:extLst>
          </c:dPt>
          <c:dLbls>
            <c:dLbl>
              <c:idx val="0"/>
              <c:layout>
                <c:manualLayout>
                  <c:x val="0.1046831955922865"/>
                  <c:y val="-6.48298106867433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83E-4BD7-B216-D8D00CD0E974}"/>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&amp;Qualification'!$A$4:$A$5</c:f>
              <c:strCache>
                <c:ptCount val="1"/>
                <c:pt idx="0">
                  <c:v>Male</c:v>
                </c:pt>
              </c:strCache>
            </c:strRef>
          </c:cat>
          <c:val>
            <c:numRef>
              <c:f>'Gender &amp;Qualification'!$B$4:$B$5</c:f>
              <c:numCache>
                <c:formatCode>General</c:formatCode>
                <c:ptCount val="1"/>
                <c:pt idx="0">
                  <c:v>882</c:v>
                </c:pt>
              </c:numCache>
            </c:numRef>
          </c:val>
          <c:extLst>
            <c:ext xmlns:c16="http://schemas.microsoft.com/office/drawing/2014/chart" uri="{C3380CC4-5D6E-409C-BE32-E72D297353CC}">
              <c16:uniqueId val="{00000000-683E-4BD7-B216-D8D00CD0E97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_DASHBOARAD.xlsx]Gender &amp;Qualification!PivotTable4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Byu Qualification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&amp;Qualification'!$B$16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&amp;Qualification'!$A$17:$A$22</c:f>
              <c:strCache>
                <c:ptCount val="5"/>
                <c:pt idx="0">
                  <c:v>Doctoral Degree</c:v>
                </c:pt>
                <c:pt idx="1">
                  <c:v>High School</c:v>
                </c:pt>
                <c:pt idx="2">
                  <c:v>Associates Degree</c:v>
                </c:pt>
                <c:pt idx="3">
                  <c:v>Master's Degree</c:v>
                </c:pt>
                <c:pt idx="4">
                  <c:v>Bachelor's Degree</c:v>
                </c:pt>
              </c:strCache>
            </c:strRef>
          </c:cat>
          <c:val>
            <c:numRef>
              <c:f>'Gender &amp;Qualification'!$B$17:$B$22</c:f>
              <c:numCache>
                <c:formatCode>General</c:formatCode>
                <c:ptCount val="5"/>
                <c:pt idx="0">
                  <c:v>2</c:v>
                </c:pt>
                <c:pt idx="1">
                  <c:v>20</c:v>
                </c:pt>
                <c:pt idx="2">
                  <c:v>25</c:v>
                </c:pt>
                <c:pt idx="3">
                  <c:v>42</c:v>
                </c:pt>
                <c:pt idx="4">
                  <c:v>61</c:v>
                </c:pt>
              </c:numCache>
            </c:numRef>
          </c:val>
          <c:extLst>
            <c:ext xmlns:c16="http://schemas.microsoft.com/office/drawing/2014/chart" uri="{C3380CC4-5D6E-409C-BE32-E72D297353CC}">
              <c16:uniqueId val="{00000000-9B3C-4FE0-844E-0F931A6B24E7}"/>
            </c:ext>
          </c:extLst>
        </c:ser>
        <c:dLbls>
          <c:dLblPos val="outEnd"/>
          <c:showLegendKey val="0"/>
          <c:showVal val="1"/>
          <c:showCatName val="0"/>
          <c:showSerName val="0"/>
          <c:showPercent val="0"/>
          <c:showBubbleSize val="0"/>
        </c:dLbls>
        <c:gapWidth val="182"/>
        <c:axId val="600291032"/>
        <c:axId val="600287072"/>
      </c:barChart>
      <c:catAx>
        <c:axId val="600291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7072"/>
        <c:crosses val="autoZero"/>
        <c:auto val="1"/>
        <c:lblAlgn val="ctr"/>
        <c:lblOffset val="100"/>
        <c:noMultiLvlLbl val="0"/>
      </c:catAx>
      <c:valAx>
        <c:axId val="600287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91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_DASHBOARAD.xlsx]Department!PivotTable5</c:name>
    <c:fmtId val="0"/>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aseline="0">
                <a:solidFill>
                  <a:schemeClr val="tx1"/>
                </a:solidFill>
              </a:rPr>
              <a:t>Attrition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1">
              <a:lumMod val="75000"/>
            </a:schemeClr>
          </a:solidFill>
          <a:ln w="19050">
            <a:solidFill>
              <a:schemeClr val="lt1"/>
            </a:solidFill>
          </a:ln>
          <a:effectLst/>
        </c:spPr>
        <c:dLbl>
          <c:idx val="0"/>
          <c:layout>
            <c:manualLayout>
              <c:x val="0.10277777777777777"/>
              <c:y val="6.9444444444444448E-2"/>
            </c:manualLayout>
          </c:layout>
          <c:spPr>
            <a:solidFill>
              <a:srgbClr val="447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1.3888888888888888E-2"/>
              <c:y val="0.1388888888888889"/>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16944444444444454"/>
              <c:y val="-0.15277777777777779"/>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025-4508-A17A-B3294C8C3B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025-4508-A17A-B3294C8C3BCD}"/>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2-2025-4508-A17A-B3294C8C3BCD}"/>
              </c:ext>
            </c:extLst>
          </c:dPt>
          <c:dLbls>
            <c:dLbl>
              <c:idx val="0"/>
              <c:layout>
                <c:manualLayout>
                  <c:x val="-1.3888888888888888E-2"/>
                  <c:y val="0.138888888888888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025-4508-A17A-B3294C8C3BCD}"/>
                </c:ext>
              </c:extLst>
            </c:dLbl>
            <c:dLbl>
              <c:idx val="1"/>
              <c:layout>
                <c:manualLayout>
                  <c:x val="-0.16944444444444454"/>
                  <c:y val="-0.1527777777777777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025-4508-A17A-B3294C8C3BCD}"/>
                </c:ext>
              </c:extLst>
            </c:dLbl>
            <c:dLbl>
              <c:idx val="2"/>
              <c:layout>
                <c:manualLayout>
                  <c:x val="0.10277777777777777"/>
                  <c:y val="6.9444444444444448E-2"/>
                </c:manualLayout>
              </c:layout>
              <c:spPr>
                <a:solidFill>
                  <a:srgbClr val="447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2025-4508-A17A-B3294C8C3BCD}"/>
                </c:ext>
              </c:extLst>
            </c:dLbl>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Department!$A$4:$A$7</c:f>
              <c:strCache>
                <c:ptCount val="3"/>
                <c:pt idx="0">
                  <c:v>HR</c:v>
                </c:pt>
                <c:pt idx="1">
                  <c:v>R&amp;D</c:v>
                </c:pt>
                <c:pt idx="2">
                  <c:v>Sales</c:v>
                </c:pt>
              </c:strCache>
            </c:strRef>
          </c:cat>
          <c:val>
            <c:numRef>
              <c:f>Department!$B$4:$B$7</c:f>
              <c:numCache>
                <c:formatCode>General</c:formatCode>
                <c:ptCount val="3"/>
                <c:pt idx="0">
                  <c:v>6</c:v>
                </c:pt>
                <c:pt idx="1">
                  <c:v>90</c:v>
                </c:pt>
                <c:pt idx="2">
                  <c:v>54</c:v>
                </c:pt>
              </c:numCache>
            </c:numRef>
          </c:val>
          <c:extLst>
            <c:ext xmlns:c16="http://schemas.microsoft.com/office/drawing/2014/chart" uri="{C3380CC4-5D6E-409C-BE32-E72D297353CC}">
              <c16:uniqueId val="{00000000-2025-4508-A17A-B3294C8C3BC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b="1">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_DASHBOARAD.xlsx]Age&amp;Marriage!PivotTable7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'Age&amp;Marriage'!$B$3</c:f>
              <c:strCache>
                <c:ptCount val="1"/>
                <c:pt idx="0">
                  <c:v>Total</c:v>
                </c:pt>
              </c:strCache>
            </c:strRef>
          </c:tx>
          <c:spPr>
            <a:solidFill>
              <a:schemeClr val="accent1"/>
            </a:solidFill>
            <a:ln>
              <a:noFill/>
            </a:ln>
            <a:effectLst/>
          </c:spPr>
          <c:invertIfNegative val="0"/>
          <c:cat>
            <c:strRef>
              <c:f>'Age&amp;Marriage'!$A$4:$A$9</c:f>
              <c:strCache>
                <c:ptCount val="5"/>
                <c:pt idx="0">
                  <c:v>Under 25</c:v>
                </c:pt>
                <c:pt idx="1">
                  <c:v>25 - 34</c:v>
                </c:pt>
                <c:pt idx="2">
                  <c:v>35 - 44</c:v>
                </c:pt>
                <c:pt idx="3">
                  <c:v>45 - 54</c:v>
                </c:pt>
                <c:pt idx="4">
                  <c:v>Over 55</c:v>
                </c:pt>
              </c:strCache>
            </c:strRef>
          </c:cat>
          <c:val>
            <c:numRef>
              <c:f>'Age&amp;Marriage'!$B$4:$B$9</c:f>
              <c:numCache>
                <c:formatCode>General</c:formatCode>
                <c:ptCount val="5"/>
                <c:pt idx="0">
                  <c:v>20</c:v>
                </c:pt>
                <c:pt idx="1">
                  <c:v>69</c:v>
                </c:pt>
                <c:pt idx="2">
                  <c:v>37</c:v>
                </c:pt>
                <c:pt idx="3">
                  <c:v>16</c:v>
                </c:pt>
                <c:pt idx="4">
                  <c:v>8</c:v>
                </c:pt>
              </c:numCache>
            </c:numRef>
          </c:val>
          <c:extLst>
            <c:ext xmlns:c16="http://schemas.microsoft.com/office/drawing/2014/chart" uri="{C3380CC4-5D6E-409C-BE32-E72D297353CC}">
              <c16:uniqueId val="{00000000-B0AB-4D20-80F9-EE7CA222F6D7}"/>
            </c:ext>
          </c:extLst>
        </c:ser>
        <c:dLbls>
          <c:showLegendKey val="0"/>
          <c:showVal val="0"/>
          <c:showCatName val="0"/>
          <c:showSerName val="0"/>
          <c:showPercent val="0"/>
          <c:showBubbleSize val="0"/>
        </c:dLbls>
        <c:gapWidth val="219"/>
        <c:overlap val="-27"/>
        <c:axId val="600295712"/>
        <c:axId val="600292112"/>
      </c:barChart>
      <c:catAx>
        <c:axId val="60029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92112"/>
        <c:crosses val="autoZero"/>
        <c:auto val="1"/>
        <c:lblAlgn val="ctr"/>
        <c:lblOffset val="100"/>
        <c:noMultiLvlLbl val="0"/>
      </c:catAx>
      <c:valAx>
        <c:axId val="60029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9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_DASHBOARAD.xlsx]Gender &amp;Qualification!PivotTable2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702479338842976"/>
              <c:y val="4.3219873791162253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046831955922865"/>
              <c:y val="-6.482981068674337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5702479338842976"/>
              <c:y val="4.3219873791162253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46831955922865"/>
              <c:y val="-6.482981068674337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9573448480230293"/>
              <c:y val="4.3219905881808823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122099737532808"/>
              <c:y val="-9.419820319816861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 &amp;Qualification'!$B$3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2D-4253-845F-231AF66DF7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2D-4253-845F-231AF66DF719}"/>
              </c:ext>
            </c:extLst>
          </c:dPt>
          <c:dLbls>
            <c:dLbl>
              <c:idx val="0"/>
              <c:layout>
                <c:manualLayout>
                  <c:x val="0.2122099737532808"/>
                  <c:y val="-9.41982031981686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C2D-4253-845F-231AF66DF719}"/>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&amp;Qualification'!$A$4:$A$5</c:f>
              <c:strCache>
                <c:ptCount val="1"/>
                <c:pt idx="0">
                  <c:v>Male</c:v>
                </c:pt>
              </c:strCache>
            </c:strRef>
          </c:cat>
          <c:val>
            <c:numRef>
              <c:f>'Gender &amp;Qualification'!$B$4:$B$5</c:f>
              <c:numCache>
                <c:formatCode>General</c:formatCode>
                <c:ptCount val="1"/>
                <c:pt idx="0">
                  <c:v>882</c:v>
                </c:pt>
              </c:numCache>
            </c:numRef>
          </c:val>
          <c:extLst>
            <c:ext xmlns:c16="http://schemas.microsoft.com/office/drawing/2014/chart" uri="{C3380CC4-5D6E-409C-BE32-E72D297353CC}">
              <c16:uniqueId val="{00000004-DC2D-4253-845F-231AF66DF71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_DASHBOARAD.xlsx]Gender &amp;Qualification!PivotTable4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Byu Qualification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&amp;Qualification'!$B$16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&amp;Qualification'!$A$17:$A$22</c:f>
              <c:strCache>
                <c:ptCount val="5"/>
                <c:pt idx="0">
                  <c:v>Doctoral Degree</c:v>
                </c:pt>
                <c:pt idx="1">
                  <c:v>High School</c:v>
                </c:pt>
                <c:pt idx="2">
                  <c:v>Associates Degree</c:v>
                </c:pt>
                <c:pt idx="3">
                  <c:v>Master's Degree</c:v>
                </c:pt>
                <c:pt idx="4">
                  <c:v>Bachelor's Degree</c:v>
                </c:pt>
              </c:strCache>
            </c:strRef>
          </c:cat>
          <c:val>
            <c:numRef>
              <c:f>'Gender &amp;Qualification'!$B$17:$B$22</c:f>
              <c:numCache>
                <c:formatCode>General</c:formatCode>
                <c:ptCount val="5"/>
                <c:pt idx="0">
                  <c:v>2</c:v>
                </c:pt>
                <c:pt idx="1">
                  <c:v>20</c:v>
                </c:pt>
                <c:pt idx="2">
                  <c:v>25</c:v>
                </c:pt>
                <c:pt idx="3">
                  <c:v>42</c:v>
                </c:pt>
                <c:pt idx="4">
                  <c:v>61</c:v>
                </c:pt>
              </c:numCache>
            </c:numRef>
          </c:val>
          <c:extLst>
            <c:ext xmlns:c16="http://schemas.microsoft.com/office/drawing/2014/chart" uri="{C3380CC4-5D6E-409C-BE32-E72D297353CC}">
              <c16:uniqueId val="{00000000-6385-439A-89A8-4DB48B38FC62}"/>
            </c:ext>
          </c:extLst>
        </c:ser>
        <c:dLbls>
          <c:dLblPos val="outEnd"/>
          <c:showLegendKey val="0"/>
          <c:showVal val="1"/>
          <c:showCatName val="0"/>
          <c:showSerName val="0"/>
          <c:showPercent val="0"/>
          <c:showBubbleSize val="0"/>
        </c:dLbls>
        <c:gapWidth val="182"/>
        <c:axId val="600291032"/>
        <c:axId val="600287072"/>
      </c:barChart>
      <c:catAx>
        <c:axId val="600291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7072"/>
        <c:crosses val="autoZero"/>
        <c:auto val="1"/>
        <c:lblAlgn val="ctr"/>
        <c:lblOffset val="100"/>
        <c:noMultiLvlLbl val="0"/>
      </c:catAx>
      <c:valAx>
        <c:axId val="600287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91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_DASHBOARAD.xlsx]Department!PivotTable5</c:name>
    <c:fmtId val="3"/>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0" baseline="0">
                <a:solidFill>
                  <a:schemeClr val="tx1"/>
                </a:solidFill>
              </a:rPr>
              <a:t>Attrition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1">
              <a:lumMod val="75000"/>
            </a:schemeClr>
          </a:solidFill>
          <a:ln w="19050">
            <a:solidFill>
              <a:schemeClr val="lt1"/>
            </a:solidFill>
          </a:ln>
          <a:effectLst/>
        </c:spPr>
        <c:dLbl>
          <c:idx val="0"/>
          <c:layout>
            <c:manualLayout>
              <c:x val="0.10277777777777777"/>
              <c:y val="6.9444444444444448E-2"/>
            </c:manualLayout>
          </c:layout>
          <c:spPr>
            <a:solidFill>
              <a:srgbClr val="447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1.3888888888888888E-2"/>
              <c:y val="0.1388888888888889"/>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16944444444444454"/>
              <c:y val="-0.15277777777777779"/>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1.3888888888888888E-2"/>
              <c:y val="0.1388888888888889"/>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6944444444444454"/>
              <c:y val="-0.15277777777777779"/>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bg1">
              <a:lumMod val="75000"/>
            </a:schemeClr>
          </a:solidFill>
          <a:ln w="19050">
            <a:solidFill>
              <a:schemeClr val="lt1"/>
            </a:solidFill>
          </a:ln>
          <a:effectLst/>
        </c:spPr>
        <c:dLbl>
          <c:idx val="0"/>
          <c:layout>
            <c:manualLayout>
              <c:x val="0.10277777777777777"/>
              <c:y val="6.9444444444444448E-2"/>
            </c:manualLayout>
          </c:layout>
          <c:spPr>
            <a:solidFill>
              <a:srgbClr val="447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1.3888888888888888E-2"/>
              <c:y val="0.1388888888888889"/>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6944444444444454"/>
              <c:y val="-0.15277777777777779"/>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bg1">
              <a:lumMod val="75000"/>
            </a:schemeClr>
          </a:solidFill>
          <a:ln w="19050">
            <a:solidFill>
              <a:schemeClr val="lt1"/>
            </a:solidFill>
          </a:ln>
          <a:effectLst/>
        </c:spPr>
        <c:dLbl>
          <c:idx val="0"/>
          <c:layout>
            <c:manualLayout>
              <c:x val="0.10277777777777777"/>
              <c:y val="6.9444444444444448E-2"/>
            </c:manualLayout>
          </c:layout>
          <c:spPr>
            <a:solidFill>
              <a:srgbClr val="447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1E-4886-8C09-BF4D0EDADB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1E-4886-8C09-BF4D0EDADB40}"/>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851E-4886-8C09-BF4D0EDADB40}"/>
              </c:ext>
            </c:extLst>
          </c:dPt>
          <c:dLbls>
            <c:dLbl>
              <c:idx val="0"/>
              <c:layout>
                <c:manualLayout>
                  <c:x val="-1.3888888888888888E-2"/>
                  <c:y val="0.138888888888888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1E-4886-8C09-BF4D0EDADB40}"/>
                </c:ext>
              </c:extLst>
            </c:dLbl>
            <c:dLbl>
              <c:idx val="1"/>
              <c:layout>
                <c:manualLayout>
                  <c:x val="-0.16944444444444454"/>
                  <c:y val="-0.1527777777777777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51E-4886-8C09-BF4D0EDADB40}"/>
                </c:ext>
              </c:extLst>
            </c:dLbl>
            <c:dLbl>
              <c:idx val="2"/>
              <c:layout>
                <c:manualLayout>
                  <c:x val="0.10277777777777777"/>
                  <c:y val="6.9444444444444448E-2"/>
                </c:manualLayout>
              </c:layout>
              <c:spPr>
                <a:solidFill>
                  <a:srgbClr val="4472C4"/>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851E-4886-8C09-BF4D0EDADB40}"/>
                </c:ext>
              </c:extLst>
            </c:dLbl>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Department!$A$4:$A$7</c:f>
              <c:strCache>
                <c:ptCount val="3"/>
                <c:pt idx="0">
                  <c:v>HR</c:v>
                </c:pt>
                <c:pt idx="1">
                  <c:v>R&amp;D</c:v>
                </c:pt>
                <c:pt idx="2">
                  <c:v>Sales</c:v>
                </c:pt>
              </c:strCache>
            </c:strRef>
          </c:cat>
          <c:val>
            <c:numRef>
              <c:f>Department!$B$4:$B$7</c:f>
              <c:numCache>
                <c:formatCode>General</c:formatCode>
                <c:ptCount val="3"/>
                <c:pt idx="0">
                  <c:v>6</c:v>
                </c:pt>
                <c:pt idx="1">
                  <c:v>90</c:v>
                </c:pt>
                <c:pt idx="2">
                  <c:v>54</c:v>
                </c:pt>
              </c:numCache>
            </c:numRef>
          </c:val>
          <c:extLst>
            <c:ext xmlns:c16="http://schemas.microsoft.com/office/drawing/2014/chart" uri="{C3380CC4-5D6E-409C-BE32-E72D297353CC}">
              <c16:uniqueId val="{00000006-851E-4886-8C09-BF4D0EDADB4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b="1">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_DASHBOARAD.xlsx]Age&amp;Marriage!PivotTable7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'Age&amp;Marriage'!$B$3</c:f>
              <c:strCache>
                <c:ptCount val="1"/>
                <c:pt idx="0">
                  <c:v>Total</c:v>
                </c:pt>
              </c:strCache>
            </c:strRef>
          </c:tx>
          <c:spPr>
            <a:solidFill>
              <a:schemeClr val="accent1"/>
            </a:solidFill>
            <a:ln>
              <a:noFill/>
            </a:ln>
            <a:effectLst/>
          </c:spPr>
          <c:invertIfNegative val="0"/>
          <c:cat>
            <c:strRef>
              <c:f>'Age&amp;Marriage'!$A$4:$A$9</c:f>
              <c:strCache>
                <c:ptCount val="5"/>
                <c:pt idx="0">
                  <c:v>Under 25</c:v>
                </c:pt>
                <c:pt idx="1">
                  <c:v>25 - 34</c:v>
                </c:pt>
                <c:pt idx="2">
                  <c:v>35 - 44</c:v>
                </c:pt>
                <c:pt idx="3">
                  <c:v>45 - 54</c:v>
                </c:pt>
                <c:pt idx="4">
                  <c:v>Over 55</c:v>
                </c:pt>
              </c:strCache>
            </c:strRef>
          </c:cat>
          <c:val>
            <c:numRef>
              <c:f>'Age&amp;Marriage'!$B$4:$B$9</c:f>
              <c:numCache>
                <c:formatCode>General</c:formatCode>
                <c:ptCount val="5"/>
                <c:pt idx="0">
                  <c:v>20</c:v>
                </c:pt>
                <c:pt idx="1">
                  <c:v>69</c:v>
                </c:pt>
                <c:pt idx="2">
                  <c:v>37</c:v>
                </c:pt>
                <c:pt idx="3">
                  <c:v>16</c:v>
                </c:pt>
                <c:pt idx="4">
                  <c:v>8</c:v>
                </c:pt>
              </c:numCache>
            </c:numRef>
          </c:val>
          <c:extLst>
            <c:ext xmlns:c16="http://schemas.microsoft.com/office/drawing/2014/chart" uri="{C3380CC4-5D6E-409C-BE32-E72D297353CC}">
              <c16:uniqueId val="{00000000-F791-4812-A212-E7C68E5F289C}"/>
            </c:ext>
          </c:extLst>
        </c:ser>
        <c:dLbls>
          <c:showLegendKey val="0"/>
          <c:showVal val="0"/>
          <c:showCatName val="0"/>
          <c:showSerName val="0"/>
          <c:showPercent val="0"/>
          <c:showBubbleSize val="0"/>
        </c:dLbls>
        <c:gapWidth val="219"/>
        <c:overlap val="-27"/>
        <c:axId val="600295712"/>
        <c:axId val="600292112"/>
      </c:barChart>
      <c:catAx>
        <c:axId val="60029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92112"/>
        <c:crosses val="autoZero"/>
        <c:auto val="1"/>
        <c:lblAlgn val="ctr"/>
        <c:lblOffset val="100"/>
        <c:noMultiLvlLbl val="0"/>
      </c:catAx>
      <c:valAx>
        <c:axId val="60029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9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Attrition By Job Role</cx:v>
        </cx:txData>
      </cx:tx>
    </cx:title>
    <cx:plotArea>
      <cx:plotAreaRegion>
        <cx:series layoutId="treemap" uniqueId="{00000000-C2E9-4A86-BDA5-B95ED386B5DC}">
          <cx:tx>
            <cx:txData>
              <cx:f>_xlchart.v1.1</cx:f>
              <cx:v>Attrition Count</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Attrition By Marriage Status</cx:v>
        </cx:txData>
      </cx:tx>
    </cx:title>
    <cx:plotArea>
      <cx:plotAreaRegion>
        <cx:series layoutId="funnel" uniqueId="{00000000-5E50-4E86-B1A4-5DBD069B0F1D}">
          <cx:tx>
            <cx:txData>
              <cx:f>_xlchart.v2.4</cx:f>
              <cx:v>Attrition Count</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title pos="t" align="ctr" overlay="0">
      <cx:tx>
        <cx:txData>
          <cx:v>Attrition By Job Role</cx:v>
        </cx:txData>
      </cx:tx>
    </cx:title>
    <cx:plotArea>
      <cx:plotAreaRegion>
        <cx:series layoutId="treemap" uniqueId="{00000000-C2E9-4A86-BDA5-B95ED386B5DC}">
          <cx:tx>
            <cx:txData>
              <cx:f>_xlchart.v1.16</cx:f>
              <cx:v>Attrition Count</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_xlchart.v2.18</cx:f>
      </cx:strDim>
      <cx:numDim type="val">
        <cx:f>_xlchart.v2.20</cx:f>
      </cx:numDim>
    </cx:data>
  </cx:chartData>
  <cx:chart>
    <cx:title pos="t" align="ctr" overlay="0">
      <cx:tx>
        <cx:txData>
          <cx:v>Attrition By Marriage Status</cx:v>
        </cx:txData>
      </cx:tx>
    </cx:title>
    <cx:plotArea>
      <cx:plotAreaRegion>
        <cx:series layoutId="funnel" uniqueId="{00000000-5E50-4E86-B1A4-5DBD069B0F1D}">
          <cx:tx>
            <cx:txData>
              <cx:f>_xlchart.v2.19</cx:f>
              <cx:v>Attrition Count</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19050</xdr:colOff>
      <xdr:row>1</xdr:row>
      <xdr:rowOff>142875</xdr:rowOff>
    </xdr:from>
    <xdr:to>
      <xdr:col>12</xdr:col>
      <xdr:colOff>361950</xdr:colOff>
      <xdr:row>15</xdr:row>
      <xdr:rowOff>142875</xdr:rowOff>
    </xdr:to>
    <xdr:graphicFrame macro="">
      <xdr:nvGraphicFramePr>
        <xdr:cNvPr id="2" name="Chart 1">
          <a:extLst>
            <a:ext uri="{FF2B5EF4-FFF2-40B4-BE49-F238E27FC236}">
              <a16:creationId xmlns:a16="http://schemas.microsoft.com/office/drawing/2014/main" id="{0BE9F192-584A-715F-B9AB-C1D372FE9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171450</xdr:colOff>
      <xdr:row>18</xdr:row>
      <xdr:rowOff>128586</xdr:rowOff>
    </xdr:from>
    <xdr:to>
      <xdr:col>12</xdr:col>
      <xdr:colOff>495300</xdr:colOff>
      <xdr:row>33</xdr:row>
      <xdr:rowOff>114299</xdr:rowOff>
    </xdr:to>
    <xdr:graphicFrame macro="">
      <xdr:nvGraphicFramePr>
        <xdr:cNvPr id="3" name="Chart 2">
          <a:extLst>
            <a:ext uri="{FF2B5EF4-FFF2-40B4-BE49-F238E27FC236}">
              <a16:creationId xmlns:a16="http://schemas.microsoft.com/office/drawing/2014/main" id="{2837D487-88ED-A866-1413-40C43CEB1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552450</xdr:colOff>
      <xdr:row>1</xdr:row>
      <xdr:rowOff>185737</xdr:rowOff>
    </xdr:from>
    <xdr:to>
      <xdr:col>11</xdr:col>
      <xdr:colOff>247650</xdr:colOff>
      <xdr:row>16</xdr:row>
      <xdr:rowOff>71437</xdr:rowOff>
    </xdr:to>
    <xdr:graphicFrame macro="">
      <xdr:nvGraphicFramePr>
        <xdr:cNvPr id="2" name="Chart 1">
          <a:extLst>
            <a:ext uri="{FF2B5EF4-FFF2-40B4-BE49-F238E27FC236}">
              <a16:creationId xmlns:a16="http://schemas.microsoft.com/office/drawing/2014/main" id="{028D3D29-16CE-841B-060A-DFF32B22F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557212</xdr:colOff>
      <xdr:row>13</xdr:row>
      <xdr:rowOff>147637</xdr:rowOff>
    </xdr:from>
    <xdr:to>
      <xdr:col>8</xdr:col>
      <xdr:colOff>119062</xdr:colOff>
      <xdr:row>31</xdr:row>
      <xdr:rowOff>142875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378C421-2F92-C77C-4028-5401C7961C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24362" y="2624137"/>
              <a:ext cx="4572000" cy="34242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590550</xdr:colOff>
      <xdr:row>1</xdr:row>
      <xdr:rowOff>147637</xdr:rowOff>
    </xdr:from>
    <xdr:to>
      <xdr:col>11</xdr:col>
      <xdr:colOff>285750</xdr:colOff>
      <xdr:row>12</xdr:row>
      <xdr:rowOff>161925</xdr:rowOff>
    </xdr:to>
    <xdr:graphicFrame macro="">
      <xdr:nvGraphicFramePr>
        <xdr:cNvPr id="2" name="Chart 1">
          <a:extLst>
            <a:ext uri="{FF2B5EF4-FFF2-40B4-BE49-F238E27FC236}">
              <a16:creationId xmlns:a16="http://schemas.microsoft.com/office/drawing/2014/main" id="{4D791EAB-6F80-23D6-257E-5C4EE2D91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128587</xdr:colOff>
      <xdr:row>17</xdr:row>
      <xdr:rowOff>61912</xdr:rowOff>
    </xdr:from>
    <xdr:to>
      <xdr:col>16</xdr:col>
      <xdr:colOff>433387</xdr:colOff>
      <xdr:row>31</xdr:row>
      <xdr:rowOff>138112</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5E28232-9243-C7C3-7939-310ED35AC1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43912" y="33004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9525</xdr:colOff>
      <xdr:row>8</xdr:row>
      <xdr:rowOff>9525</xdr:rowOff>
    </xdr:from>
    <xdr:to>
      <xdr:col>5</xdr:col>
      <xdr:colOff>514350</xdr:colOff>
      <xdr:row>19</xdr:row>
      <xdr:rowOff>76200</xdr:rowOff>
    </xdr:to>
    <xdr:graphicFrame macro="">
      <xdr:nvGraphicFramePr>
        <xdr:cNvPr id="3" name="Chart 2">
          <a:extLst>
            <a:ext uri="{FF2B5EF4-FFF2-40B4-BE49-F238E27FC236}">
              <a16:creationId xmlns:a16="http://schemas.microsoft.com/office/drawing/2014/main" id="{57F23666-A9FA-45D7-81EC-E7F8DB21A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8</xdr:row>
      <xdr:rowOff>47625</xdr:rowOff>
    </xdr:from>
    <xdr:to>
      <xdr:col>7</xdr:col>
      <xdr:colOff>809625</xdr:colOff>
      <xdr:row>19</xdr:row>
      <xdr:rowOff>95250</xdr:rowOff>
    </xdr:to>
    <xdr:graphicFrame macro="">
      <xdr:nvGraphicFramePr>
        <xdr:cNvPr id="4" name="Chart 3">
          <a:extLst>
            <a:ext uri="{FF2B5EF4-FFF2-40B4-BE49-F238E27FC236}">
              <a16:creationId xmlns:a16="http://schemas.microsoft.com/office/drawing/2014/main" id="{35E25127-C029-44E5-86F8-44ABC66D8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857251</xdr:colOff>
      <xdr:row>8</xdr:row>
      <xdr:rowOff>38101</xdr:rowOff>
    </xdr:from>
    <xdr:to>
      <xdr:col>8</xdr:col>
      <xdr:colOff>3781425</xdr:colOff>
      <xdr:row>19</xdr:row>
      <xdr:rowOff>57151</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43129E8-CD1B-4EED-A271-5EB83AA4BC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382126" y="1704976"/>
              <a:ext cx="5114924" cy="2114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19050</xdr:colOff>
      <xdr:row>19</xdr:row>
      <xdr:rowOff>133350</xdr:rowOff>
    </xdr:from>
    <xdr:to>
      <xdr:col>5</xdr:col>
      <xdr:colOff>552450</xdr:colOff>
      <xdr:row>31</xdr:row>
      <xdr:rowOff>85725</xdr:rowOff>
    </xdr:to>
    <xdr:graphicFrame macro="">
      <xdr:nvGraphicFramePr>
        <xdr:cNvPr id="6" name="Chart 5">
          <a:extLst>
            <a:ext uri="{FF2B5EF4-FFF2-40B4-BE49-F238E27FC236}">
              <a16:creationId xmlns:a16="http://schemas.microsoft.com/office/drawing/2014/main" id="{64CC432D-7E5F-4556-BBC4-F52CF95F5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619125</xdr:colOff>
      <xdr:row>19</xdr:row>
      <xdr:rowOff>142875</xdr:rowOff>
    </xdr:from>
    <xdr:to>
      <xdr:col>7</xdr:col>
      <xdr:colOff>838200</xdr:colOff>
      <xdr:row>31</xdr:row>
      <xdr:rowOff>100013</xdr:rowOff>
    </xdr:to>
    <xdr:graphicFrame macro="">
      <xdr:nvGraphicFramePr>
        <xdr:cNvPr id="7" name="Chart 6">
          <a:extLst>
            <a:ext uri="{FF2B5EF4-FFF2-40B4-BE49-F238E27FC236}">
              <a16:creationId xmlns:a16="http://schemas.microsoft.com/office/drawing/2014/main" id="{6A3152AC-DDA8-453C-9AC3-9B51156A1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933450</xdr:colOff>
      <xdr:row>19</xdr:row>
      <xdr:rowOff>161926</xdr:rowOff>
    </xdr:from>
    <xdr:to>
      <xdr:col>8</xdr:col>
      <xdr:colOff>3790950</xdr:colOff>
      <xdr:row>31</xdr:row>
      <xdr:rowOff>85726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6E638435-FE77-4CAD-BC75-B7CBE0098F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458325" y="3924301"/>
              <a:ext cx="5048250" cy="2286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200025</xdr:colOff>
      <xdr:row>24</xdr:row>
      <xdr:rowOff>142875</xdr:rowOff>
    </xdr:from>
    <xdr:to>
      <xdr:col>2</xdr:col>
      <xdr:colOff>0</xdr:colOff>
      <xdr:row>31</xdr:row>
      <xdr:rowOff>19050</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5E299228-63A9-08C7-ADC2-CBEF38125FA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00025" y="4933950"/>
              <a:ext cx="1666875"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12</xdr:row>
      <xdr:rowOff>180975</xdr:rowOff>
    </xdr:from>
    <xdr:to>
      <xdr:col>1</xdr:col>
      <xdr:colOff>1219200</xdr:colOff>
      <xdr:row>24</xdr:row>
      <xdr:rowOff>85724</xdr:rowOff>
    </xdr:to>
    <mc:AlternateContent xmlns:mc="http://schemas.openxmlformats.org/markup-compatibility/2006">
      <mc:Choice xmlns:a14="http://schemas.microsoft.com/office/drawing/2010/main" Requires="a14">
        <xdr:graphicFrame macro="">
          <xdr:nvGraphicFramePr>
            <xdr:cNvPr id="12" name="Education Field">
              <a:extLst>
                <a:ext uri="{FF2B5EF4-FFF2-40B4-BE49-F238E27FC236}">
                  <a16:creationId xmlns:a16="http://schemas.microsoft.com/office/drawing/2014/main" id="{F0EADAAF-DDB7-2494-8843-4711EFF1FEC7}"/>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80975" y="2609850"/>
              <a:ext cx="1647825"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209551</xdr:colOff>
      <xdr:row>7</xdr:row>
      <xdr:rowOff>152401</xdr:rowOff>
    </xdr:from>
    <xdr:to>
      <xdr:col>1</xdr:col>
      <xdr:colOff>1181101</xdr:colOff>
      <xdr:row>12</xdr:row>
      <xdr:rowOff>114301</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885F5AE2-4A0C-7A21-36C0-577A99B15AD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9551" y="1628776"/>
              <a:ext cx="15811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pawar" refreshedDate="46222.619962731478" createdVersion="8" refreshedVersion="8" minRefreshableVersion="3" recordCount="1470" xr:uid="{D6236032-6952-43CA-AC42-14B764FA60B3}">
  <cacheSource type="worksheet">
    <worksheetSource name="Table13"/>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582186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3B1591-5FEB-4498-86A6-92456312016E}"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h="1"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7"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BC0F10-5DCA-460E-88FC-84AB3DA5C752}"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22"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2D8C20-AEC4-4ADD-AE16-E42AF92898C2}"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dataFiel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Count of Gender" fld="8"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 chart="5"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2BF97C-874B-437F-8796-32584785DD72}"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D13036-2348-423A-9360-62321E90EABD}"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37189A-9FC1-4634-A485-D951882D1F7C}"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30"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6A0271-9BDC-4239-90FE-D5E8AFDC095D}"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items count="6">
        <item x="4"/>
        <item x="2"/>
        <item x="0"/>
        <item x="1"/>
        <item x="3"/>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7E0139E5-E068-4E02-B6E9-B89D2F6EC552}" sourceName="Education Field">
  <pivotTables>
    <pivotTable tabId="4" name="PivotTable2"/>
    <pivotTable tabId="7" name="PivotTable7"/>
    <pivotTable tabId="7" name="PivotTable8"/>
    <pivotTable tabId="5" name="PivotTable5"/>
    <pivotTable tabId="4" name="PivotTable4"/>
    <pivotTable tabId="6" name="PivotTable6"/>
    <pivotTable tabId="2" name="PivotTable1"/>
  </pivotTables>
  <data>
    <tabular pivotCacheId="1958218614">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4F373E-877F-4173-89FA-2080E9476E5D}" sourceName="Gender">
  <pivotTables>
    <pivotTable tabId="4" name="PivotTable2"/>
    <pivotTable tabId="7" name="PivotTable7"/>
    <pivotTable tabId="7" name="PivotTable8"/>
    <pivotTable tabId="5" name="PivotTable5"/>
    <pivotTable tabId="4" name="PivotTable4"/>
    <pivotTable tabId="6" name="PivotTable6"/>
    <pivotTable tabId="2" name="PivotTable1"/>
  </pivotTables>
  <data>
    <tabular pivotCacheId="1958218614">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0F6C087-28E1-4A50-B9E2-1A521F6504E6}" sourceName="Department">
  <pivotTables>
    <pivotTable tabId="4" name="PivotTable2"/>
    <pivotTable tabId="7" name="PivotTable7"/>
    <pivotTable tabId="7" name="PivotTable8"/>
    <pivotTable tabId="5" name="PivotTable5"/>
    <pivotTable tabId="4" name="PivotTable4"/>
    <pivotTable tabId="6" name="PivotTable6"/>
    <pivotTable tabId="2" name="PivotTable1"/>
  </pivotTables>
  <data>
    <tabular pivotCacheId="195821861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F55A7DB5-AD88-47F1-9D69-17F4BE592D1C}" cache="Slicer_Education_Field" caption="Education Field" rowHeight="241300"/>
  <slicer name="Gender" xr10:uid="{E35EAB3B-3BE7-4482-B77A-5AF2B07CE8F2}" cache="Slicer_Gender" caption="Gender" rowHeight="241300"/>
  <slicer name="Department" xr10:uid="{66D6DF5B-E4D0-4982-A2B3-73EC29A2D19B}"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33864-C753-40AB-A530-F5DE2544830A}" name="Table13" displayName="Table13" ref="A1:AR1471" totalsRowShown="0">
  <tableColumns count="44">
    <tableColumn id="1" xr3:uid="{DCCF1D1B-C272-41A3-A3C1-3034066A52AD}" name="Attrition"/>
    <tableColumn id="2" xr3:uid="{D48EDCC3-3530-4DF0-8E5A-53281F3DF65B}" name="Business Travel"/>
    <tableColumn id="3" xr3:uid="{364972E3-E9D5-4D0E-8197-631E0D206FCB}" name="CF_age band"/>
    <tableColumn id="4" xr3:uid="{E39AAEFA-DBD1-429A-9975-783CA0C0CE00}" name="CF_attrition label"/>
    <tableColumn id="5" xr3:uid="{78DE53A4-483B-4E30-8DC0-DF3311BFD8EA}" name="Department"/>
    <tableColumn id="6" xr3:uid="{1807FD53-FEAA-4FA8-961E-972CF91FEBDA}" name="Education Field"/>
    <tableColumn id="7" xr3:uid="{161CBF04-B457-4BF8-B508-B372CE1FAB0D}" name="emp no"/>
    <tableColumn id="8" xr3:uid="{AED08209-451F-497D-9D17-3D55B0F84345}" name="Employee Number"/>
    <tableColumn id="9" xr3:uid="{794FB2AB-A9C0-411D-93BD-6338F54E0398}" name="Gender"/>
    <tableColumn id="10" xr3:uid="{8C555725-15E2-462A-82F7-2F4C0B818AE2}" name="Job Role"/>
    <tableColumn id="11" xr3:uid="{83FD91FC-10D0-4195-B8E4-53A9752DE5FB}" name="Marital Status"/>
    <tableColumn id="12" xr3:uid="{ADA319BA-A72F-4793-8E5A-4492195A0079}" name="Over Time"/>
    <tableColumn id="13" xr3:uid="{76F8E446-CEE8-40B5-B3D2-411219EEE6F5}" name="Over18"/>
    <tableColumn id="14" xr3:uid="{80F22C11-3EA0-493A-8635-2E86EC3CDC76}" name="Training Times Last Year"/>
    <tableColumn id="15" xr3:uid="{B3D1083E-B555-47AE-88C5-D153BBC5FFD1}" name="-2"/>
    <tableColumn id="16" xr3:uid="{92A211E1-0CBF-4970-991D-D2A7B98041D2}" name="0"/>
    <tableColumn id="17" xr3:uid="{F63B634B-4361-44AE-B3E4-D606D537D913}" name="Age"/>
    <tableColumn id="18" xr3:uid="{B6982339-1123-4C1D-874A-96431BB5E156}" name="CF_attrition count"/>
    <tableColumn id="19" xr3:uid="{ACE91D6A-B0B4-49EA-97A5-9BB503F73510}" name="CF_attrition counts"/>
    <tableColumn id="20" xr3:uid="{25BB0DEA-FC9C-41A0-8499-76AEE5CA5828}" name="CF_attrition rate"/>
    <tableColumn id="21" xr3:uid="{0D836C4A-AB45-4A3C-83D4-27C11C34D029}" name="CF_current Employee"/>
    <tableColumn id="22" xr3:uid="{0A52CBD0-4DD0-4134-8E46-488D85CFC7C2}" name="Daily Rate"/>
    <tableColumn id="23" xr3:uid="{C64EF460-989F-4471-A25F-D2C74281112E}" name="Distance From Home"/>
    <tableColumn id="24" xr3:uid="{0EA73411-3654-4148-ACD1-B9F72A9697DD}" name="Education"/>
    <tableColumn id="25" xr3:uid="{EA74026E-271B-45C4-A471-F05870237E29}" name="Employee Count"/>
    <tableColumn id="26" xr3:uid="{501CB9F7-6B27-47C0-83D9-CF91300BCCE5}" name="Environment Satisfaction"/>
    <tableColumn id="27" xr3:uid="{F71CD133-E1BD-4FA9-9D58-31E4BFECE13D}" name="Hourly Rate"/>
    <tableColumn id="28" xr3:uid="{3BDE077F-092A-47C1-9CA2-9C397B4CF9CA}" name="Job Involvement"/>
    <tableColumn id="29" xr3:uid="{74C7B6CB-B631-410C-AA95-84B83A2FA3B5}" name="Job Level"/>
    <tableColumn id="30" xr3:uid="{4F07EF5D-286D-4EB6-9165-927512E06700}" name="Job Satisfaction"/>
    <tableColumn id="31" xr3:uid="{558C8B01-7AB8-4D44-B77C-1ABD7094D7FD}" name="Monthly Income"/>
    <tableColumn id="32" xr3:uid="{CA2E3FDB-E707-421D-BBEC-2F9097F5C761}" name="Monthly Rate"/>
    <tableColumn id="33" xr3:uid="{2AD19C61-4CCA-49A9-B6AF-D9A189171271}" name="Num Companies Worked"/>
    <tableColumn id="34" xr3:uid="{6B91B1C2-DC6E-43A6-81FF-778F9F55E4DF}" name="Percent Salary Hike"/>
    <tableColumn id="35" xr3:uid="{4E7EF49B-8917-4700-BF6E-57EBFDF8DEB0}" name="Performance Rating"/>
    <tableColumn id="36" xr3:uid="{B1BAB07A-E36D-4F09-B263-DBAE0E270AAD}" name="Relationship Satisfaction"/>
    <tableColumn id="37" xr3:uid="{497E4B36-7F1A-4A06-9C81-6A00C554023C}" name="Standard Hours"/>
    <tableColumn id="38" xr3:uid="{60ECA46F-E978-4720-9A36-1E29C8165655}" name="Stock Option Level"/>
    <tableColumn id="39" xr3:uid="{9DACF18C-6316-4A6A-AF65-C40DC2E6B1CC}" name="Total Working Years"/>
    <tableColumn id="40" xr3:uid="{701363AF-0949-4AB6-86A8-A8D58DA0C220}" name="Work Life Balance"/>
    <tableColumn id="41" xr3:uid="{91B36AE1-9B01-48A1-8144-24B4AF23909E}" name="Years At Company"/>
    <tableColumn id="42" xr3:uid="{C0C8F517-AABE-4680-B36E-C8D3B5E6D895}" name="Years In Current Role"/>
    <tableColumn id="43" xr3:uid="{D04073B1-BDC2-468E-8033-1DB0F1A883B6}" name="Years Since Last Promotion"/>
    <tableColumn id="44" xr3:uid="{A78755F7-54CE-40EF-93DE-4582B707DA00}"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A69B3-7B8F-4CC4-8A28-C270DD4F61AA}">
  <dimension ref="A1:AR1471"/>
  <sheetViews>
    <sheetView workbookViewId="0">
      <selection activeCell="N19" sqref="N19"/>
    </sheetView>
  </sheetViews>
  <sheetFormatPr defaultRowHeight="15" x14ac:dyDescent="0.25"/>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54E5-F14C-4F83-BCF0-00A0F8F37EDD}">
  <dimension ref="A3:E8"/>
  <sheetViews>
    <sheetView workbookViewId="0">
      <selection activeCell="A7" sqref="A7:E8"/>
    </sheetView>
  </sheetViews>
  <sheetFormatPr defaultRowHeight="15" x14ac:dyDescent="0.25"/>
  <cols>
    <col min="1" max="1" width="26.140625" bestFit="1" customWidth="1"/>
    <col min="2" max="2" width="23.85546875" bestFit="1" customWidth="1"/>
    <col min="3" max="3" width="14.5703125" bestFit="1" customWidth="1"/>
    <col min="4" max="4" width="21.28515625" customWidth="1"/>
    <col min="5" max="5" width="18" customWidth="1"/>
    <col min="6" max="6" width="18.85546875" customWidth="1"/>
    <col min="7" max="7" width="2" bestFit="1" customWidth="1"/>
    <col min="8" max="77" width="3" bestFit="1" customWidth="1"/>
    <col min="78" max="718" width="4" bestFit="1" customWidth="1"/>
    <col min="719" max="1471" width="5" bestFit="1" customWidth="1"/>
    <col min="1472" max="1472" width="11.28515625" bestFit="1" customWidth="1"/>
  </cols>
  <sheetData>
    <row r="3" spans="1:5" x14ac:dyDescent="0.25">
      <c r="A3" t="s">
        <v>1555</v>
      </c>
      <c r="B3" t="s">
        <v>1556</v>
      </c>
      <c r="C3" t="s">
        <v>1557</v>
      </c>
    </row>
    <row r="4" spans="1:5" x14ac:dyDescent="0.25">
      <c r="A4" s="2">
        <v>882</v>
      </c>
      <c r="B4" s="2">
        <v>150</v>
      </c>
      <c r="C4" s="2">
        <v>36.653061224489797</v>
      </c>
    </row>
    <row r="7" spans="1:5" x14ac:dyDescent="0.25">
      <c r="A7" t="s">
        <v>1558</v>
      </c>
      <c r="B7" t="s">
        <v>1559</v>
      </c>
      <c r="C7" t="s">
        <v>1560</v>
      </c>
      <c r="D7" t="s">
        <v>1561</v>
      </c>
      <c r="E7" t="s">
        <v>1562</v>
      </c>
    </row>
    <row r="8" spans="1:5" x14ac:dyDescent="0.25">
      <c r="A8">
        <f>GETPIVOTDATA("Count of Employee Number",$A$3)</f>
        <v>882</v>
      </c>
      <c r="B8">
        <f>GETPIVOTDATA("Sum of CF_attrition count",$A$3)</f>
        <v>150</v>
      </c>
      <c r="C8" s="3">
        <f>GETPIVOTDATA("Average of Age",$A$3)</f>
        <v>36.653061224489797</v>
      </c>
      <c r="D8">
        <f>A8-B8</f>
        <v>732</v>
      </c>
      <c r="E8" s="4">
        <f>B8/A8</f>
        <v>0.17006802721088435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C59D-9A4A-4B6B-8EFB-82897C251BC6}">
  <dimension ref="A3:B22"/>
  <sheetViews>
    <sheetView workbookViewId="0">
      <selection activeCell="Q17" sqref="Q17"/>
    </sheetView>
  </sheetViews>
  <sheetFormatPr defaultRowHeight="15" x14ac:dyDescent="0.25"/>
  <cols>
    <col min="1" max="1" width="17.42578125" bestFit="1" customWidth="1"/>
    <col min="2" max="2" width="23.85546875" bestFit="1" customWidth="1"/>
  </cols>
  <sheetData>
    <row r="3" spans="1:2" x14ac:dyDescent="0.25">
      <c r="A3" s="1" t="s">
        <v>1563</v>
      </c>
      <c r="B3" t="s">
        <v>1564</v>
      </c>
    </row>
    <row r="4" spans="1:2" x14ac:dyDescent="0.25">
      <c r="A4" s="5" t="s">
        <v>62</v>
      </c>
      <c r="B4" s="2">
        <v>882</v>
      </c>
    </row>
    <row r="5" spans="1:2" x14ac:dyDescent="0.25">
      <c r="A5" s="5" t="s">
        <v>1554</v>
      </c>
      <c r="B5" s="2">
        <v>882</v>
      </c>
    </row>
    <row r="16" spans="1:2" x14ac:dyDescent="0.25">
      <c r="A16" s="1" t="s">
        <v>1563</v>
      </c>
      <c r="B16" t="s">
        <v>1556</v>
      </c>
    </row>
    <row r="17" spans="1:2" x14ac:dyDescent="0.25">
      <c r="A17" s="5" t="s">
        <v>134</v>
      </c>
      <c r="B17" s="2">
        <v>2</v>
      </c>
    </row>
    <row r="18" spans="1:2" x14ac:dyDescent="0.25">
      <c r="A18" s="5" t="s">
        <v>65</v>
      </c>
      <c r="B18" s="2">
        <v>20</v>
      </c>
    </row>
    <row r="19" spans="1:2" x14ac:dyDescent="0.25">
      <c r="A19" s="5" t="s">
        <v>55</v>
      </c>
      <c r="B19" s="2">
        <v>25</v>
      </c>
    </row>
    <row r="20" spans="1:2" x14ac:dyDescent="0.25">
      <c r="A20" s="5" t="s">
        <v>71</v>
      </c>
      <c r="B20" s="2">
        <v>42</v>
      </c>
    </row>
    <row r="21" spans="1:2" x14ac:dyDescent="0.25">
      <c r="A21" s="5" t="s">
        <v>77</v>
      </c>
      <c r="B21" s="2">
        <v>61</v>
      </c>
    </row>
    <row r="22" spans="1:2" x14ac:dyDescent="0.25">
      <c r="A22" s="5" t="s">
        <v>1554</v>
      </c>
      <c r="B22" s="2">
        <v>150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4A51B-1A09-44B5-A7C8-E2A9B0FE28AD}">
  <dimension ref="A3:B7"/>
  <sheetViews>
    <sheetView workbookViewId="0">
      <selection activeCell="K23" sqref="K23"/>
    </sheetView>
  </sheetViews>
  <sheetFormatPr defaultRowHeight="15" x14ac:dyDescent="0.25"/>
  <cols>
    <col min="1" max="1" width="13.140625" bestFit="1" customWidth="1"/>
    <col min="2" max="2" width="23.85546875" bestFit="1" customWidth="1"/>
  </cols>
  <sheetData>
    <row r="3" spans="1:2" x14ac:dyDescent="0.25">
      <c r="A3" s="1" t="s">
        <v>1563</v>
      </c>
      <c r="B3" t="s">
        <v>1556</v>
      </c>
    </row>
    <row r="4" spans="1:2" x14ac:dyDescent="0.25">
      <c r="A4" s="5" t="s">
        <v>161</v>
      </c>
      <c r="B4" s="2">
        <v>6</v>
      </c>
    </row>
    <row r="5" spans="1:2" x14ac:dyDescent="0.25">
      <c r="A5" s="5" t="s">
        <v>60</v>
      </c>
      <c r="B5" s="2">
        <v>90</v>
      </c>
    </row>
    <row r="6" spans="1:2" x14ac:dyDescent="0.25">
      <c r="A6" s="5" t="s">
        <v>48</v>
      </c>
      <c r="B6" s="2">
        <v>54</v>
      </c>
    </row>
    <row r="7" spans="1:2" x14ac:dyDescent="0.25">
      <c r="A7" s="5" t="s">
        <v>1554</v>
      </c>
      <c r="B7" s="2">
        <v>150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596CA-1D92-4BEA-BAF1-9824B0A78062}">
  <dimension ref="A3:F13"/>
  <sheetViews>
    <sheetView workbookViewId="0">
      <selection activeCell="A34" sqref="A34"/>
    </sheetView>
  </sheetViews>
  <sheetFormatPr defaultRowHeight="15" x14ac:dyDescent="0.25"/>
  <cols>
    <col min="1" max="1" width="25" bestFit="1" customWidth="1"/>
    <col min="2" max="2" width="23.85546875" bestFit="1" customWidth="1"/>
    <col min="5" max="5" width="30.28515625" customWidth="1"/>
    <col min="6" max="6" width="17.42578125" customWidth="1"/>
  </cols>
  <sheetData>
    <row r="3" spans="1:6" x14ac:dyDescent="0.25">
      <c r="A3" s="1" t="s">
        <v>1563</v>
      </c>
      <c r="B3" t="s">
        <v>1556</v>
      </c>
      <c r="E3" t="s">
        <v>9</v>
      </c>
      <c r="F3" t="s">
        <v>1559</v>
      </c>
    </row>
    <row r="4" spans="1:6" x14ac:dyDescent="0.25">
      <c r="A4" s="5" t="s">
        <v>83</v>
      </c>
      <c r="B4" s="2">
        <v>4</v>
      </c>
      <c r="E4" s="5" t="s">
        <v>83</v>
      </c>
      <c r="F4" s="2">
        <v>9</v>
      </c>
    </row>
    <row r="5" spans="1:6" x14ac:dyDescent="0.25">
      <c r="A5" s="5" t="s">
        <v>163</v>
      </c>
      <c r="B5" s="2">
        <v>6</v>
      </c>
      <c r="E5" s="5" t="s">
        <v>163</v>
      </c>
      <c r="F5" s="2">
        <v>12</v>
      </c>
    </row>
    <row r="6" spans="1:6" x14ac:dyDescent="0.25">
      <c r="A6" s="5" t="s">
        <v>68</v>
      </c>
      <c r="B6" s="2">
        <v>46</v>
      </c>
      <c r="E6" s="5" t="s">
        <v>68</v>
      </c>
      <c r="F6" s="2">
        <v>62</v>
      </c>
    </row>
    <row r="7" spans="1:6" x14ac:dyDescent="0.25">
      <c r="A7" s="5" t="s">
        <v>95</v>
      </c>
      <c r="B7" s="2">
        <v>3</v>
      </c>
      <c r="E7" s="5" t="s">
        <v>95</v>
      </c>
      <c r="F7" s="2">
        <v>5</v>
      </c>
    </row>
    <row r="8" spans="1:6" x14ac:dyDescent="0.25">
      <c r="A8" s="5" t="s">
        <v>81</v>
      </c>
      <c r="B8" s="2">
        <v>6</v>
      </c>
      <c r="E8" s="5" t="s">
        <v>81</v>
      </c>
      <c r="F8" s="2">
        <v>10</v>
      </c>
    </row>
    <row r="9" spans="1:6" x14ac:dyDescent="0.25">
      <c r="A9" s="5" t="s">
        <v>101</v>
      </c>
      <c r="B9" s="2">
        <v>1</v>
      </c>
      <c r="E9" s="5" t="s">
        <v>101</v>
      </c>
      <c r="F9" s="2">
        <v>2</v>
      </c>
    </row>
    <row r="10" spans="1:6" x14ac:dyDescent="0.25">
      <c r="A10" s="5" t="s">
        <v>63</v>
      </c>
      <c r="B10" s="2">
        <v>30</v>
      </c>
      <c r="E10" s="5" t="s">
        <v>63</v>
      </c>
      <c r="F10" s="2">
        <v>47</v>
      </c>
    </row>
    <row r="11" spans="1:6" x14ac:dyDescent="0.25">
      <c r="A11" s="5" t="s">
        <v>52</v>
      </c>
      <c r="B11" s="2">
        <v>37</v>
      </c>
      <c r="E11" s="5" t="s">
        <v>52</v>
      </c>
      <c r="F11" s="2">
        <v>57</v>
      </c>
    </row>
    <row r="12" spans="1:6" x14ac:dyDescent="0.25">
      <c r="A12" s="5" t="s">
        <v>99</v>
      </c>
      <c r="B12" s="2">
        <v>17</v>
      </c>
      <c r="E12" s="5" t="s">
        <v>99</v>
      </c>
      <c r="F12" s="2">
        <v>33</v>
      </c>
    </row>
    <row r="13" spans="1:6" x14ac:dyDescent="0.25">
      <c r="A13" s="5" t="s">
        <v>1554</v>
      </c>
      <c r="B13" s="2">
        <v>150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3A5B-DF12-4DE2-B4BC-5C03B1A1CAD8}">
  <dimension ref="A3:G30"/>
  <sheetViews>
    <sheetView workbookViewId="0">
      <selection activeCell="P12" sqref="P12"/>
    </sheetView>
  </sheetViews>
  <sheetFormatPr defaultRowHeight="15" x14ac:dyDescent="0.25"/>
  <cols>
    <col min="1" max="2" width="13.140625" bestFit="1" customWidth="1"/>
    <col min="3" max="3" width="23.85546875" bestFit="1" customWidth="1"/>
    <col min="6" max="6" width="15.85546875" customWidth="1"/>
    <col min="7" max="7" width="22.140625" customWidth="1"/>
  </cols>
  <sheetData>
    <row r="3" spans="1:2" x14ac:dyDescent="0.25">
      <c r="A3" s="1" t="s">
        <v>1563</v>
      </c>
      <c r="B3" t="s">
        <v>1556</v>
      </c>
    </row>
    <row r="4" spans="1:2" x14ac:dyDescent="0.25">
      <c r="A4" s="5" t="s">
        <v>92</v>
      </c>
      <c r="B4" s="2">
        <v>20</v>
      </c>
    </row>
    <row r="5" spans="1:2" x14ac:dyDescent="0.25">
      <c r="A5" s="5" t="s">
        <v>69</v>
      </c>
      <c r="B5" s="2">
        <v>69</v>
      </c>
    </row>
    <row r="6" spans="1:2" x14ac:dyDescent="0.25">
      <c r="A6" s="5" t="s">
        <v>46</v>
      </c>
      <c r="B6" s="2">
        <v>37</v>
      </c>
    </row>
    <row r="7" spans="1:2" x14ac:dyDescent="0.25">
      <c r="A7" s="5" t="s">
        <v>58</v>
      </c>
      <c r="B7" s="2">
        <v>16</v>
      </c>
    </row>
    <row r="8" spans="1:2" x14ac:dyDescent="0.25">
      <c r="A8" s="5" t="s">
        <v>75</v>
      </c>
      <c r="B8" s="2">
        <v>8</v>
      </c>
    </row>
    <row r="9" spans="1:2" x14ac:dyDescent="0.25">
      <c r="A9" s="5" t="s">
        <v>1554</v>
      </c>
      <c r="B9" s="2">
        <v>150</v>
      </c>
    </row>
    <row r="26" spans="2:7" x14ac:dyDescent="0.25">
      <c r="B26" s="1" t="s">
        <v>1563</v>
      </c>
      <c r="C26" t="s">
        <v>1556</v>
      </c>
      <c r="F26" t="s">
        <v>1565</v>
      </c>
      <c r="G26" t="s">
        <v>1559</v>
      </c>
    </row>
    <row r="27" spans="2:7" x14ac:dyDescent="0.25">
      <c r="B27" s="5" t="s">
        <v>79</v>
      </c>
      <c r="C27" s="2">
        <v>24</v>
      </c>
      <c r="F27" s="5" t="s">
        <v>79</v>
      </c>
      <c r="G27">
        <f>GETPIVOTDATA("CF_attrition count",$B$26,"Marital Status","Divorced")</f>
        <v>24</v>
      </c>
    </row>
    <row r="28" spans="2:7" x14ac:dyDescent="0.25">
      <c r="B28" s="5" t="s">
        <v>64</v>
      </c>
      <c r="C28" s="2">
        <v>53</v>
      </c>
      <c r="F28" s="5" t="s">
        <v>64</v>
      </c>
      <c r="G28">
        <f>GETPIVOTDATA("CF_attrition count",$B$26,"Marital Status","Married")</f>
        <v>53</v>
      </c>
    </row>
    <row r="29" spans="2:7" x14ac:dyDescent="0.25">
      <c r="B29" s="5" t="s">
        <v>53</v>
      </c>
      <c r="C29" s="2">
        <v>73</v>
      </c>
      <c r="F29" s="5" t="s">
        <v>53</v>
      </c>
      <c r="G29">
        <f>GETPIVOTDATA("CF_attrition count",$B$26,"Marital Status","Single")</f>
        <v>73</v>
      </c>
    </row>
    <row r="30" spans="2:7" x14ac:dyDescent="0.25">
      <c r="B30" s="5" t="s">
        <v>1554</v>
      </c>
      <c r="C30" s="2">
        <v>150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6E77A-F220-47CA-A3E9-0555941EF6A7}">
  <dimension ref="A1:K31"/>
  <sheetViews>
    <sheetView showGridLines="0" tabSelected="1" workbookViewId="0">
      <selection activeCell="E35" sqref="E35"/>
    </sheetView>
  </sheetViews>
  <sheetFormatPr defaultRowHeight="15" x14ac:dyDescent="0.25"/>
  <cols>
    <col min="2" max="2" width="18.85546875" customWidth="1"/>
    <col min="3" max="4" width="9.140625" hidden="1" customWidth="1"/>
    <col min="5" max="5" width="36.7109375" customWidth="1"/>
    <col min="6" max="6" width="32.28515625" customWidth="1"/>
    <col min="7" max="7" width="30.85546875" customWidth="1"/>
    <col min="8" max="8" width="32.85546875" customWidth="1"/>
    <col min="9" max="9" width="57.5703125" customWidth="1"/>
  </cols>
  <sheetData>
    <row r="1" spans="1:9" x14ac:dyDescent="0.25">
      <c r="A1" s="7" t="s">
        <v>1566</v>
      </c>
      <c r="B1" s="8"/>
      <c r="C1" s="8"/>
      <c r="D1" s="8"/>
      <c r="E1" s="8"/>
      <c r="F1" s="8"/>
      <c r="G1" s="8"/>
      <c r="H1" s="8"/>
      <c r="I1" s="8"/>
    </row>
    <row r="2" spans="1:9" x14ac:dyDescent="0.25">
      <c r="A2" s="8"/>
      <c r="B2" s="8"/>
      <c r="C2" s="8"/>
      <c r="D2" s="8"/>
      <c r="E2" s="8"/>
      <c r="F2" s="8"/>
      <c r="G2" s="8"/>
      <c r="H2" s="8"/>
      <c r="I2" s="8"/>
    </row>
    <row r="3" spans="1:9" x14ac:dyDescent="0.25">
      <c r="A3" s="8"/>
      <c r="B3" s="8"/>
      <c r="C3" s="8"/>
      <c r="D3" s="8"/>
      <c r="E3" s="8"/>
      <c r="F3" s="8"/>
      <c r="G3" s="8"/>
      <c r="H3" s="8"/>
      <c r="I3" s="8"/>
    </row>
    <row r="4" spans="1:9" x14ac:dyDescent="0.25">
      <c r="A4" s="8"/>
      <c r="B4" s="8"/>
      <c r="C4" s="8"/>
      <c r="D4" s="8"/>
      <c r="E4" s="8"/>
      <c r="F4" s="8"/>
      <c r="G4" s="8"/>
      <c r="H4" s="8"/>
      <c r="I4" s="8"/>
    </row>
    <row r="5" spans="1:9" ht="20.25" customHeight="1" x14ac:dyDescent="0.35">
      <c r="A5" s="9"/>
      <c r="B5" s="9"/>
      <c r="C5" s="9"/>
      <c r="D5" s="9"/>
      <c r="E5" s="10" t="s">
        <v>1558</v>
      </c>
      <c r="F5" s="10" t="s">
        <v>1559</v>
      </c>
      <c r="G5" s="10" t="s">
        <v>1560</v>
      </c>
      <c r="H5" s="10" t="s">
        <v>1561</v>
      </c>
      <c r="I5" s="10" t="s">
        <v>1562</v>
      </c>
    </row>
    <row r="6" spans="1:9" ht="21" x14ac:dyDescent="0.35">
      <c r="A6" s="9"/>
      <c r="B6" s="9"/>
      <c r="C6" s="9"/>
      <c r="D6" s="9"/>
      <c r="E6" s="10">
        <f>GETPIVOTDATA("Count of Employee Number",KPI!$A$3)</f>
        <v>882</v>
      </c>
      <c r="F6" s="10">
        <f>GETPIVOTDATA("Sum of CF_attrition count",KPI!$A$3)</f>
        <v>150</v>
      </c>
      <c r="G6" s="11">
        <f>GETPIVOTDATA("Average of Age",KPI!$A$3)</f>
        <v>36.653061224489797</v>
      </c>
      <c r="H6" s="10">
        <f>E6-F6</f>
        <v>732</v>
      </c>
      <c r="I6" s="12">
        <f>F6/E6</f>
        <v>0.17006802721088435</v>
      </c>
    </row>
    <row r="7" spans="1:9" x14ac:dyDescent="0.25">
      <c r="A7" s="9"/>
      <c r="B7" s="9"/>
      <c r="C7" s="9"/>
      <c r="D7" s="9"/>
      <c r="E7" s="9"/>
      <c r="F7" s="9"/>
      <c r="G7" s="9"/>
      <c r="H7" s="9"/>
      <c r="I7" s="9"/>
    </row>
    <row r="8" spans="1:9" x14ac:dyDescent="0.25">
      <c r="A8" s="9"/>
      <c r="B8" s="9"/>
      <c r="C8" s="9"/>
      <c r="D8" s="9"/>
      <c r="E8" s="9"/>
      <c r="F8" s="9"/>
      <c r="G8" s="9"/>
      <c r="H8" s="9"/>
      <c r="I8" s="9"/>
    </row>
    <row r="9" spans="1:9" x14ac:dyDescent="0.25">
      <c r="A9" s="9"/>
      <c r="B9" s="9"/>
      <c r="C9" s="9"/>
      <c r="D9" s="9"/>
      <c r="E9" s="9"/>
      <c r="F9" s="9"/>
      <c r="G9" s="9"/>
      <c r="H9" s="9"/>
      <c r="I9" s="9"/>
    </row>
    <row r="10" spans="1:9" x14ac:dyDescent="0.25">
      <c r="A10" s="9"/>
      <c r="B10" s="9"/>
      <c r="C10" s="9"/>
      <c r="D10" s="9"/>
      <c r="E10" s="9"/>
      <c r="F10" s="9"/>
      <c r="G10" s="9"/>
      <c r="H10" s="9"/>
      <c r="I10" s="9"/>
    </row>
    <row r="11" spans="1:9" x14ac:dyDescent="0.25">
      <c r="A11" s="9"/>
      <c r="B11" s="9"/>
      <c r="C11" s="9"/>
      <c r="D11" s="9"/>
      <c r="E11" s="9"/>
      <c r="F11" s="9"/>
      <c r="G11" s="9"/>
      <c r="H11" s="9"/>
      <c r="I11" s="9"/>
    </row>
    <row r="12" spans="1:9" x14ac:dyDescent="0.25">
      <c r="A12" s="9"/>
      <c r="B12" s="9"/>
      <c r="C12" s="9"/>
      <c r="D12" s="9"/>
      <c r="E12" s="9"/>
      <c r="F12" s="9"/>
      <c r="G12" s="9"/>
      <c r="H12" s="9"/>
      <c r="I12" s="9"/>
    </row>
    <row r="13" spans="1:9" x14ac:dyDescent="0.25">
      <c r="A13" s="9"/>
      <c r="B13" s="9"/>
      <c r="C13" s="9"/>
      <c r="D13" s="9"/>
      <c r="E13" s="9"/>
      <c r="F13" s="9"/>
      <c r="G13" s="9"/>
      <c r="H13" s="9"/>
      <c r="I13" s="9"/>
    </row>
    <row r="14" spans="1:9" x14ac:dyDescent="0.25">
      <c r="A14" s="9"/>
      <c r="B14" s="9"/>
      <c r="C14" s="9"/>
      <c r="D14" s="9"/>
      <c r="E14" s="9"/>
      <c r="F14" s="9"/>
      <c r="G14" s="9"/>
      <c r="H14" s="9"/>
      <c r="I14" s="9"/>
    </row>
    <row r="15" spans="1:9" x14ac:dyDescent="0.25">
      <c r="A15" s="9"/>
      <c r="B15" s="9"/>
      <c r="C15" s="9"/>
      <c r="D15" s="9"/>
      <c r="E15" s="9"/>
      <c r="F15" s="9"/>
      <c r="G15" s="9"/>
      <c r="H15" s="9"/>
      <c r="I15" s="9"/>
    </row>
    <row r="16" spans="1:9" x14ac:dyDescent="0.25">
      <c r="A16" s="9"/>
      <c r="B16" s="9"/>
      <c r="C16" s="9"/>
      <c r="D16" s="9"/>
      <c r="E16" s="9"/>
      <c r="F16" s="9"/>
      <c r="G16" s="9"/>
      <c r="H16" s="9"/>
      <c r="I16" s="9"/>
    </row>
    <row r="17" spans="1:11" x14ac:dyDescent="0.25">
      <c r="A17" s="9"/>
      <c r="B17" s="9"/>
      <c r="C17" s="9"/>
      <c r="D17" s="9"/>
      <c r="E17" s="9"/>
      <c r="F17" s="9"/>
      <c r="G17" s="9"/>
      <c r="H17" s="9"/>
      <c r="I17" s="9"/>
    </row>
    <row r="18" spans="1:11" x14ac:dyDescent="0.25">
      <c r="A18" s="9"/>
      <c r="B18" s="9"/>
      <c r="C18" s="9"/>
      <c r="D18" s="9"/>
      <c r="E18" s="9"/>
      <c r="F18" s="9"/>
      <c r="G18" s="9"/>
      <c r="H18" s="9"/>
      <c r="I18" s="9"/>
    </row>
    <row r="19" spans="1:11" x14ac:dyDescent="0.25">
      <c r="A19" s="9"/>
      <c r="B19" s="9"/>
      <c r="C19" s="9"/>
      <c r="D19" s="9"/>
      <c r="E19" s="9"/>
      <c r="F19" s="9"/>
      <c r="G19" s="9"/>
      <c r="H19" s="9"/>
      <c r="I19" s="9"/>
    </row>
    <row r="20" spans="1:11" x14ac:dyDescent="0.25">
      <c r="A20" s="9"/>
      <c r="B20" s="9"/>
      <c r="C20" s="9"/>
      <c r="D20" s="9"/>
      <c r="E20" s="9"/>
      <c r="F20" s="9"/>
      <c r="G20" s="9"/>
      <c r="H20" s="9"/>
      <c r="I20" s="9"/>
    </row>
    <row r="21" spans="1:11" x14ac:dyDescent="0.25">
      <c r="A21" s="9"/>
      <c r="B21" s="9"/>
      <c r="C21" s="9"/>
      <c r="D21" s="9"/>
      <c r="E21" s="9"/>
      <c r="F21" s="9"/>
      <c r="G21" s="9"/>
      <c r="H21" s="9"/>
      <c r="I21" s="9"/>
    </row>
    <row r="22" spans="1:11" x14ac:dyDescent="0.25">
      <c r="A22" s="9"/>
      <c r="B22" s="9"/>
      <c r="C22" s="9"/>
      <c r="D22" s="9"/>
      <c r="E22" s="9"/>
      <c r="F22" s="9"/>
      <c r="G22" s="9"/>
      <c r="H22" s="9"/>
      <c r="I22" s="9"/>
    </row>
    <row r="23" spans="1:11" ht="21" x14ac:dyDescent="0.35">
      <c r="A23" s="9"/>
      <c r="B23" s="9"/>
      <c r="C23" s="9"/>
      <c r="D23" s="9"/>
      <c r="E23" s="9"/>
      <c r="F23" s="9"/>
      <c r="G23" s="9"/>
      <c r="H23" s="9"/>
      <c r="I23" s="9"/>
      <c r="K23" s="6"/>
    </row>
    <row r="24" spans="1:11" x14ac:dyDescent="0.25">
      <c r="A24" s="9"/>
      <c r="B24" s="9"/>
      <c r="C24" s="9"/>
      <c r="D24" s="9"/>
      <c r="E24" s="9"/>
      <c r="F24" s="9"/>
      <c r="G24" s="9"/>
      <c r="H24" s="9"/>
      <c r="I24" s="9"/>
    </row>
    <row r="25" spans="1:11" x14ac:dyDescent="0.25">
      <c r="A25" s="9"/>
      <c r="B25" s="9"/>
      <c r="C25" s="9"/>
      <c r="D25" s="9"/>
      <c r="E25" s="9"/>
      <c r="F25" s="9"/>
      <c r="G25" s="9"/>
      <c r="H25" s="9"/>
      <c r="I25" s="9"/>
    </row>
    <row r="26" spans="1:11" x14ac:dyDescent="0.25">
      <c r="A26" s="9"/>
      <c r="B26" s="9"/>
      <c r="C26" s="9"/>
      <c r="D26" s="9"/>
      <c r="E26" s="9"/>
      <c r="F26" s="9"/>
      <c r="G26" s="9"/>
      <c r="H26" s="9"/>
      <c r="I26" s="9"/>
    </row>
    <row r="27" spans="1:11" x14ac:dyDescent="0.25">
      <c r="A27" s="9"/>
      <c r="B27" s="9"/>
      <c r="C27" s="9"/>
      <c r="D27" s="9"/>
      <c r="E27" s="9"/>
      <c r="F27" s="9"/>
      <c r="G27" s="9"/>
      <c r="H27" s="9"/>
      <c r="I27" s="9"/>
    </row>
    <row r="28" spans="1:11" x14ac:dyDescent="0.25">
      <c r="A28" s="9"/>
      <c r="B28" s="9"/>
      <c r="C28" s="9"/>
      <c r="D28" s="9"/>
      <c r="E28" s="9"/>
      <c r="F28" s="9"/>
      <c r="G28" s="9"/>
      <c r="H28" s="9"/>
      <c r="I28" s="9"/>
    </row>
    <row r="29" spans="1:11" x14ac:dyDescent="0.25">
      <c r="A29" s="9"/>
      <c r="B29" s="9"/>
      <c r="C29" s="9"/>
      <c r="D29" s="9"/>
      <c r="E29" s="9"/>
      <c r="F29" s="9"/>
      <c r="G29" s="9"/>
      <c r="H29" s="9"/>
      <c r="I29" s="9"/>
    </row>
    <row r="30" spans="1:11" x14ac:dyDescent="0.25">
      <c r="A30" s="9"/>
      <c r="B30" s="9"/>
      <c r="C30" s="9"/>
      <c r="D30" s="9"/>
      <c r="E30" s="9"/>
      <c r="F30" s="9"/>
      <c r="G30" s="9"/>
      <c r="H30" s="9"/>
      <c r="I30" s="9"/>
    </row>
    <row r="31" spans="1:11" x14ac:dyDescent="0.25">
      <c r="A31" s="9"/>
      <c r="B31" s="9"/>
      <c r="C31" s="9"/>
      <c r="D31" s="9"/>
      <c r="E31" s="9"/>
      <c r="F31" s="9"/>
      <c r="G31" s="9"/>
      <c r="H31" s="9"/>
      <c r="I31" s="9"/>
    </row>
  </sheetData>
  <mergeCells count="1">
    <mergeCell ref="A1:I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vt:lpstr>
      <vt:lpstr>KPI</vt:lpstr>
      <vt:lpstr>Gender &amp;Qualification</vt:lpstr>
      <vt:lpstr>Department</vt:lpstr>
      <vt:lpstr>Job Role</vt:lpstr>
      <vt:lpstr>Age&amp;Marriage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Mehlawat</dc:creator>
  <cp:lastModifiedBy>Manish Pawar</cp:lastModifiedBy>
  <dcterms:created xsi:type="dcterms:W3CDTF">2024-10-15T17:46:40Z</dcterms:created>
  <dcterms:modified xsi:type="dcterms:W3CDTF">2026-07-19T12:14:36Z</dcterms:modified>
</cp:coreProperties>
</file>